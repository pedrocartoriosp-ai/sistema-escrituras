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_Escrituras\"/>
    </mc:Choice>
  </mc:AlternateContent>
  <xr:revisionPtr revIDLastSave="0" documentId="13_ncr:1_{069B7BE0-AAD7-4C10-AAE2-08C4D8CC10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ULTICÁLCULO 2026" sheetId="3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4" i="30" l="1"/>
  <c r="K74" i="30" s="1"/>
  <c r="F72" i="30"/>
  <c r="K72" i="30" s="1"/>
  <c r="F71" i="30"/>
  <c r="K71" i="30" s="1"/>
  <c r="F68" i="30"/>
  <c r="K68" i="30" s="1"/>
  <c r="F67" i="30"/>
  <c r="K67" i="30" s="1"/>
  <c r="F66" i="30"/>
  <c r="K66" i="30" s="1"/>
  <c r="F65" i="30"/>
  <c r="K65" i="30" s="1"/>
  <c r="F62" i="30"/>
  <c r="K62" i="30" s="1"/>
  <c r="F60" i="30"/>
  <c r="K60" i="30" s="1"/>
  <c r="F59" i="30"/>
  <c r="F56" i="30"/>
  <c r="F54" i="30"/>
  <c r="F52" i="30"/>
  <c r="F51" i="30"/>
  <c r="K51" i="30" s="1"/>
  <c r="F47" i="30"/>
  <c r="F44" i="30"/>
  <c r="F43" i="30"/>
  <c r="K43" i="30" s="1"/>
  <c r="F41" i="30"/>
  <c r="K41" i="30" s="1"/>
  <c r="F40" i="30"/>
  <c r="K40" i="30" s="1"/>
  <c r="F38" i="30"/>
  <c r="K38" i="30" s="1"/>
  <c r="F37" i="30"/>
  <c r="K37" i="30" s="1"/>
  <c r="F36" i="30"/>
  <c r="K36" i="30" s="1"/>
  <c r="F33" i="30"/>
  <c r="K33" i="30" s="1"/>
  <c r="F32" i="30"/>
  <c r="K32" i="30" s="1"/>
  <c r="F31" i="30"/>
  <c r="K31" i="30" s="1"/>
  <c r="F30" i="30"/>
  <c r="K30" i="30" s="1"/>
  <c r="F29" i="30"/>
  <c r="K29" i="30" s="1"/>
  <c r="F28" i="30"/>
  <c r="K28" i="30" s="1"/>
  <c r="F27" i="30"/>
  <c r="K27" i="30" s="1"/>
  <c r="F26" i="30"/>
  <c r="F25" i="30"/>
  <c r="K25" i="30" s="1"/>
  <c r="F24" i="30"/>
  <c r="K24" i="30" s="1"/>
  <c r="F23" i="30"/>
  <c r="K23" i="30" s="1"/>
  <c r="F22" i="30"/>
  <c r="F21" i="30"/>
  <c r="K21" i="30" s="1"/>
  <c r="F20" i="30"/>
  <c r="K20" i="30" s="1"/>
  <c r="F19" i="30"/>
  <c r="K19" i="30" s="1"/>
  <c r="F18" i="30"/>
  <c r="K18" i="30" s="1"/>
  <c r="F17" i="30"/>
  <c r="K17" i="30" s="1"/>
  <c r="F16" i="30"/>
  <c r="K16" i="30" s="1"/>
  <c r="F15" i="30"/>
  <c r="K15" i="30" s="1"/>
  <c r="F14" i="30"/>
  <c r="K14" i="30" s="1"/>
  <c r="F13" i="30"/>
  <c r="K13" i="30" s="1"/>
  <c r="F12" i="30"/>
  <c r="K12" i="30" s="1"/>
  <c r="F11" i="30"/>
  <c r="K11" i="30" s="1"/>
  <c r="F10" i="30"/>
  <c r="K10" i="30" s="1"/>
  <c r="F9" i="30"/>
  <c r="K9" i="30" s="1"/>
  <c r="F8" i="30"/>
  <c r="K8" i="30" s="1"/>
  <c r="F7" i="30"/>
  <c r="K7" i="30" s="1"/>
  <c r="F6" i="30"/>
  <c r="K6" i="30" s="1"/>
  <c r="F5" i="30"/>
  <c r="K5" i="30" s="1"/>
  <c r="F4" i="30"/>
  <c r="K4" i="30" s="1"/>
  <c r="F3" i="30"/>
  <c r="K3" i="30" s="1"/>
  <c r="F2" i="30"/>
  <c r="K2" i="30" s="1"/>
  <c r="K59" i="30"/>
  <c r="K54" i="30"/>
  <c r="K52" i="30"/>
  <c r="K47" i="30"/>
  <c r="K44" i="30"/>
  <c r="K22" i="30"/>
  <c r="K26" i="30"/>
  <c r="K56" i="30"/>
</calcChain>
</file>

<file path=xl/sharedStrings.xml><?xml version="1.0" encoding="utf-8"?>
<sst xmlns="http://schemas.openxmlformats.org/spreadsheetml/2006/main" count="75" uniqueCount="75">
  <si>
    <t>Estado</t>
  </si>
  <si>
    <t>Reg. Civil</t>
  </si>
  <si>
    <t>Trib. Just.</t>
  </si>
  <si>
    <t>Sta. Casa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</si>
  <si>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</si>
  <si>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</si>
  <si>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</si>
  <si>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</si>
  <si>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</si>
  <si>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</si>
  <si>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</si>
  <si>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</si>
  <si>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</si>
  <si>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</si>
  <si>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</si>
  <si>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</si>
  <si>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</si>
  <si>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</si>
  <si>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</si>
  <si>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</si>
  <si>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</si>
  <si>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</si>
  <si>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</si>
  <si>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</si>
  <si>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</si>
  <si>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</si>
  <si>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</si>
  <si>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</si>
  <si>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</si>
  <si>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</si>
  <si>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z1</t>
  </si>
  <si>
    <t>z2</t>
  </si>
  <si>
    <t>z3</t>
  </si>
  <si>
    <t>z4</t>
  </si>
  <si>
    <t>z5</t>
  </si>
  <si>
    <t>z6</t>
  </si>
  <si>
    <t>2.2</t>
  </si>
  <si>
    <t>2.2.1</t>
  </si>
  <si>
    <t>2.2.2</t>
  </si>
  <si>
    <t>2.2.3</t>
  </si>
  <si>
    <t>2.3</t>
  </si>
  <si>
    <t>2.3.1</t>
  </si>
  <si>
    <t>2.3.2</t>
  </si>
  <si>
    <t>2.4</t>
  </si>
  <si>
    <t>2.4.1</t>
  </si>
  <si>
    <t>2.4.2</t>
  </si>
  <si>
    <t>Nota : Considera-se o casal apenas um outorgante</t>
  </si>
  <si>
    <t>3.</t>
  </si>
  <si>
    <t>4.</t>
  </si>
  <si>
    <t>4.1</t>
  </si>
  <si>
    <t>4.1.1</t>
  </si>
  <si>
    <t>4.1.2</t>
  </si>
  <si>
    <t>4.2</t>
  </si>
  <si>
    <t>4.2.1</t>
  </si>
  <si>
    <t>5.</t>
  </si>
  <si>
    <t>6.</t>
  </si>
  <si>
    <t>6.1</t>
  </si>
  <si>
    <t>6.2</t>
  </si>
  <si>
    <t>7.</t>
  </si>
  <si>
    <t>8.</t>
  </si>
  <si>
    <t>8.1</t>
  </si>
  <si>
    <t>8.2</t>
  </si>
  <si>
    <t>8.3</t>
  </si>
  <si>
    <t>8.4</t>
  </si>
  <si>
    <t>9.</t>
  </si>
  <si>
    <t>9.1</t>
  </si>
  <si>
    <t>9.2</t>
  </si>
  <si>
    <t>10.</t>
  </si>
  <si>
    <t>TOTAL</t>
  </si>
  <si>
    <t xml:space="preserve">ISS = </t>
  </si>
  <si>
    <t>Sefaz</t>
  </si>
  <si>
    <t>Tabelionato</t>
  </si>
  <si>
    <t>ISS</t>
  </si>
  <si>
    <t>M. P.</t>
  </si>
  <si>
    <t>ValorVenal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</si>
</sst>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R$ &quot;* #,##0.00_);_(&quot;R$ &quot;* \(#,##0.00\);_(&quot;R$ &quot;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horizontal="right"/>
    </xf>
    <xf numFmtId="165" fontId="3" fillId="0" borderId="16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 vertical="center" wrapText="1"/>
    </xf>
    <xf numFmtId="165" fontId="1" fillId="0" borderId="9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5" fontId="1" fillId="0" borderId="11" xfId="0" applyNumberFormat="1" applyFont="1" applyBorder="1" applyAlignment="1">
      <alignment horizontal="center" vertical="center" wrapText="1"/>
    </xf>
    <xf numFmtId="165" fontId="1" fillId="0" borderId="10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165" fontId="1" fillId="0" borderId="3" xfId="0" applyNumberFormat="1" applyFont="1" applyBorder="1" applyAlignment="1">
      <alignment horizontal="center" vertical="center" wrapText="1"/>
    </xf>
    <xf numFmtId="0" fontId="3" fillId="2" borderId="26" xfId="0" applyFont="1" applyFill="1" applyBorder="1" applyAlignment="1" applyProtection="1">
      <alignment horizontal="center" vertical="center" wrapText="1"/>
      <protection locked="0"/>
    </xf>
    <xf numFmtId="0" fontId="3" fillId="2" borderId="28" xfId="0" applyFont="1" applyFill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2" borderId="27" xfId="0" applyFont="1" applyFill="1" applyBorder="1" applyAlignment="1" applyProtection="1">
      <alignment horizontal="center" vertical="center" wrapText="1"/>
      <protection locked="0"/>
    </xf>
    <xf numFmtId="0" fontId="3" fillId="2" borderId="16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165" fontId="1" fillId="0" borderId="0" xfId="0" applyNumberFormat="1" applyFont="1" applyAlignment="1" applyProtection="1">
      <alignment horizontal="center" vertical="center" wrapText="1"/>
      <protection locked="0"/>
    </xf>
    <xf numFmtId="165" fontId="1" fillId="0" borderId="18" xfId="0" applyNumberFormat="1" applyFont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 applyProtection="1">
      <alignment horizontal="center" vertical="center" wrapText="1"/>
      <protection locked="0"/>
    </xf>
    <xf numFmtId="0" fontId="3" fillId="2" borderId="32" xfId="0" applyFont="1" applyFill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165" fontId="1" fillId="0" borderId="0" xfId="0" applyNumberFormat="1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5" fontId="1" fillId="0" borderId="33" xfId="0" applyNumberFormat="1" applyFont="1" applyBorder="1" applyAlignment="1">
      <alignment horizontal="center" vertical="center" wrapText="1"/>
    </xf>
    <xf numFmtId="165" fontId="3" fillId="4" borderId="16" xfId="0" applyNumberFormat="1" applyFont="1" applyFill="1" applyBorder="1" applyAlignment="1">
      <alignment horizontal="center" vertical="center" wrapText="1"/>
    </xf>
    <xf numFmtId="165" fontId="1" fillId="0" borderId="17" xfId="0" applyNumberFormat="1" applyFont="1" applyBorder="1" applyAlignment="1">
      <alignment horizontal="center" vertical="center" wrapText="1"/>
    </xf>
    <xf numFmtId="165" fontId="1" fillId="0" borderId="25" xfId="0" applyNumberFormat="1" applyFont="1" applyBorder="1" applyAlignment="1">
      <alignment horizontal="center" vertical="center" wrapText="1"/>
    </xf>
    <xf numFmtId="165" fontId="1" fillId="0" borderId="35" xfId="0" applyNumberFormat="1" applyFont="1" applyBorder="1" applyAlignment="1">
      <alignment horizontal="center" vertical="center" wrapText="1"/>
    </xf>
    <xf numFmtId="165" fontId="1" fillId="0" borderId="29" xfId="0" applyNumberFormat="1" applyFont="1" applyBorder="1" applyAlignment="1">
      <alignment horizontal="center" vertical="center" wrapText="1"/>
    </xf>
    <xf numFmtId="165" fontId="3" fillId="0" borderId="22" xfId="0" applyNumberFormat="1" applyFont="1" applyBorder="1" applyAlignment="1">
      <alignment horizontal="center" vertical="center" wrapText="1"/>
    </xf>
    <xf numFmtId="165" fontId="1" fillId="0" borderId="34" xfId="0" applyNumberFormat="1" applyFont="1" applyBorder="1" applyAlignment="1">
      <alignment horizontal="center" vertical="center" wrapText="1"/>
    </xf>
    <xf numFmtId="165" fontId="3" fillId="0" borderId="41" xfId="0" applyNumberFormat="1" applyFont="1" applyBorder="1" applyAlignment="1">
      <alignment horizontal="center" vertical="center" wrapText="1"/>
    </xf>
    <xf numFmtId="165" fontId="1" fillId="0" borderId="24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1" fillId="0" borderId="9" xfId="0" applyNumberFormat="1" applyFont="1" applyBorder="1" applyAlignment="1" applyProtection="1">
      <alignment horizontal="center" vertical="center" wrapText="1"/>
      <protection locked="0"/>
    </xf>
    <xf numFmtId="165" fontId="1" fillId="0" borderId="13" xfId="0" applyNumberFormat="1" applyFont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>
      <alignment horizontal="center" vertical="center" wrapText="1"/>
    </xf>
    <xf numFmtId="165" fontId="1" fillId="0" borderId="10" xfId="0" applyNumberFormat="1" applyFont="1" applyBorder="1" applyAlignment="1" applyProtection="1">
      <alignment horizontal="center" vertical="center" wrapText="1"/>
      <protection locked="0"/>
    </xf>
    <xf numFmtId="165" fontId="1" fillId="0" borderId="5" xfId="0" applyNumberFormat="1" applyFont="1" applyBorder="1" applyAlignment="1">
      <alignment horizontal="center" vertical="center" wrapText="1"/>
    </xf>
    <xf numFmtId="165" fontId="1" fillId="0" borderId="18" xfId="0" applyNumberFormat="1" applyFont="1" applyBorder="1" applyAlignment="1" applyProtection="1">
      <alignment horizontal="center" vertical="center" wrapText="1"/>
      <protection locked="0"/>
    </xf>
    <xf numFmtId="165" fontId="1" fillId="0" borderId="15" xfId="0" applyNumberFormat="1" applyFont="1" applyBorder="1" applyAlignment="1" applyProtection="1">
      <alignment horizontal="center" vertical="center" wrapText="1"/>
      <protection locked="0"/>
    </xf>
    <xf numFmtId="165" fontId="1" fillId="0" borderId="23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1" fillId="0" borderId="3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3" fillId="0" borderId="24" xfId="0" applyFont="1" applyBorder="1" applyAlignment="1" applyProtection="1">
      <alignment horizontal="center" vertical="center" wrapText="1"/>
      <protection locked="0"/>
    </xf>
    <xf numFmtId="165" fontId="1" fillId="0" borderId="1" xfId="0" applyNumberFormat="1" applyFont="1" applyBorder="1" applyAlignment="1" applyProtection="1">
      <alignment horizontal="center" vertical="center" wrapText="1"/>
      <protection locked="0"/>
    </xf>
    <xf numFmtId="165" fontId="1" fillId="0" borderId="23" xfId="0" applyNumberFormat="1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1" fillId="1" borderId="12" xfId="0" applyFont="1" applyFill="1" applyBorder="1" applyAlignment="1">
      <alignment horizontal="center" vertical="center" wrapText="1"/>
    </xf>
    <xf numFmtId="10" fontId="5" fillId="3" borderId="0" xfId="0" applyNumberFormat="1" applyFont="1" applyFill="1" applyAlignment="1" applyProtection="1">
      <alignment horizontal="center"/>
      <protection hidden="1"/>
    </xf>
    <xf numFmtId="0" fontId="1" fillId="0" borderId="7" xfId="0" applyFont="1" applyBorder="1" applyAlignment="1">
      <alignment horizontal="left" vertical="center" wrapText="1"/>
    </xf>
    <xf numFmtId="0" fontId="3" fillId="2" borderId="36" xfId="0" applyFont="1" applyFill="1" applyBorder="1" applyAlignment="1" applyProtection="1">
      <alignment horizontal="left" vertical="center" wrapText="1"/>
      <protection locked="0"/>
    </xf>
    <xf numFmtId="0" fontId="1" fillId="0" borderId="25" xfId="0" applyFont="1" applyBorder="1" applyAlignment="1" applyProtection="1">
      <alignment horizontal="left" vertical="center" wrapText="1"/>
      <protection locked="0"/>
    </xf>
    <xf numFmtId="0" fontId="1" fillId="0" borderId="39" xfId="0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36" xfId="0" applyFont="1" applyBorder="1" applyAlignment="1" applyProtection="1">
      <alignment horizontal="left" vertical="center" wrapText="1"/>
      <protection locked="0"/>
    </xf>
    <xf numFmtId="0" fontId="3" fillId="2" borderId="36" xfId="0" applyFont="1" applyFill="1" applyBorder="1" applyAlignment="1">
      <alignment horizontal="left" vertical="center" wrapText="1"/>
    </xf>
    <xf numFmtId="165" fontId="3" fillId="0" borderId="14" xfId="0" applyNumberFormat="1" applyFont="1" applyBorder="1" applyAlignment="1">
      <alignment horizontal="center" vertical="center" wrapText="1"/>
    </xf>
    <xf numFmtId="0" fontId="3" fillId="2" borderId="22" xfId="0" applyFont="1" applyFill="1" applyBorder="1" applyAlignment="1" applyProtection="1">
      <alignment horizontal="left" vertical="center" wrapText="1"/>
      <protection locked="0"/>
    </xf>
    <xf numFmtId="0" fontId="3" fillId="2" borderId="14" xfId="0" applyFont="1" applyFill="1" applyBorder="1" applyAlignment="1" applyProtection="1">
      <alignment horizontal="left" vertical="center" wrapText="1"/>
      <protection locked="0"/>
    </xf>
    <xf numFmtId="0" fontId="3" fillId="0" borderId="40" xfId="0" applyFont="1" applyBorder="1" applyAlignment="1" applyProtection="1">
      <alignment horizontal="left" vertical="center" wrapText="1"/>
      <protection locked="0"/>
    </xf>
    <xf numFmtId="0" fontId="3" fillId="0" borderId="21" xfId="0" applyFont="1" applyBorder="1" applyAlignment="1" applyProtection="1">
      <alignment horizontal="left" vertical="center" wrapText="1"/>
      <protection locked="0"/>
    </xf>
    <xf numFmtId="0" fontId="3" fillId="0" borderId="42" xfId="0" applyFont="1" applyBorder="1" applyAlignment="1" applyProtection="1">
      <alignment horizontal="left" vertical="center" wrapText="1"/>
      <protection locked="0"/>
    </xf>
    <xf numFmtId="0" fontId="3" fillId="2" borderId="30" xfId="0" applyFont="1" applyFill="1" applyBorder="1" applyAlignment="1" applyProtection="1">
      <alignment horizontal="left" vertical="center" wrapText="1"/>
      <protection locked="0"/>
    </xf>
    <xf numFmtId="0" fontId="3" fillId="2" borderId="37" xfId="0" applyFont="1" applyFill="1" applyBorder="1" applyAlignment="1" applyProtection="1">
      <alignment horizontal="left" vertical="center" wrapText="1"/>
      <protection locked="0"/>
    </xf>
    <xf numFmtId="0" fontId="3" fillId="2" borderId="31" xfId="0" applyFont="1" applyFill="1" applyBorder="1" applyAlignment="1" applyProtection="1">
      <alignment horizontal="left" vertical="center" wrapText="1"/>
      <protection locked="0"/>
    </xf>
    <xf numFmtId="0" fontId="3" fillId="2" borderId="38" xfId="0" applyFont="1" applyFill="1" applyBorder="1" applyAlignment="1" applyProtection="1">
      <alignment horizontal="left" vertical="center" wrapText="1"/>
      <protection locked="0"/>
    </xf>
    <xf numFmtId="0" fontId="3" fillId="2" borderId="21" xfId="0" applyFont="1" applyFill="1" applyBorder="1" applyAlignment="1" applyProtection="1">
      <alignment horizontal="left" vertical="center" wrapText="1"/>
      <protection locked="0"/>
    </xf>
    <xf numFmtId="0" fontId="3" fillId="2" borderId="42" xfId="0" applyFont="1" applyFill="1" applyBorder="1" applyAlignment="1" applyProtection="1">
      <alignment horizontal="left" vertical="center" wrapText="1"/>
      <protection locked="0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43" xfId="0" applyNumberFormat="1" applyFont="1" applyBorder="1" applyAlignment="1">
      <alignment horizontal="center" vertical="center" wrapText="1"/>
    </xf>
    <xf numFmtId="165" fontId="3" fillId="0" borderId="4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Vírgula 2" xfId="2" xr:uid="{00000000-0005-0000-0000-000004000000}"/>
    <cellStyle name="Vírgula 3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D0F2-C879-4853-A4FF-A77330811930}">
  <sheetPr>
    <pageSetUpPr fitToPage="1"/>
  </sheetPr>
  <dimension ref="A1:M74"/>
  <sheetViews>
    <sheetView tabSelected="1" workbookViewId="0">
      <selection activeCell="C2" sqref="C2"/>
    </sheetView>
  </sheetViews>
  <sheetFormatPr defaultRowHeight="14.4" x14ac:dyDescent="0.3"/>
  <cols>
    <col min="1" max="1" width="5.44140625" customWidth="1"/>
    <col min="2" max="2" width="18.109375" customWidth="1"/>
    <col min="3" max="9" width="13.109375" customWidth="1"/>
    <col min="10" max="10" width="10.5546875" customWidth="1"/>
    <col min="11" max="11" width="13.33203125" customWidth="1"/>
    <col min="12" max="12" width="8" customWidth="1"/>
  </cols>
  <sheetData>
    <row r="1" spans="1:13" ht="21.6" thickBot="1" x14ac:dyDescent="0.45">
      <c r="A1" s="56"/>
      <c r="B1" s="65" t="s">
        <v>74</v>
      </c>
      <c r="C1" s="65" t="s">
        <v>71</v>
      </c>
      <c r="D1" s="2" t="s">
        <v>0</v>
      </c>
      <c r="E1" s="28" t="s">
        <v>70</v>
      </c>
      <c r="F1" s="2" t="s">
        <v>72</v>
      </c>
      <c r="G1" s="2" t="s">
        <v>73</v>
      </c>
      <c r="H1" s="2" t="s">
        <v>1</v>
      </c>
      <c r="I1" s="2" t="s">
        <v>2</v>
      </c>
      <c r="J1" s="33" t="s">
        <v>3</v>
      </c>
      <c r="K1" s="2" t="s">
        <v>68</v>
      </c>
      <c r="L1" s="1" t="s">
        <v>69</v>
      </c>
      <c r="M1" s="57">
        <v>0.05</v>
      </c>
    </row>
    <row r="2" spans="1:13" ht="15" thickBot="1" x14ac:dyDescent="0.35">
      <c r="A2" s="3" t="s">
        <v>4</v>
      </c>
      <c r="B2" s="5">
        <v>1524</v>
      </c>
      <c r="C2" s="29">
        <v>212.50999999999996</v>
      </c>
      <c r="D2" s="30">
        <v>60.4</v>
      </c>
      <c r="E2" s="31">
        <v>41.34</v>
      </c>
      <c r="F2" s="31">
        <f>ROUNDDOWN((C2)*$M$1,2)</f>
        <v>10.62</v>
      </c>
      <c r="G2" s="31">
        <v>10.199999999999999</v>
      </c>
      <c r="H2" s="31">
        <v>11.19</v>
      </c>
      <c r="I2" s="32">
        <v>14.59</v>
      </c>
      <c r="J2" s="34">
        <v>2.13</v>
      </c>
      <c r="K2" s="35">
        <f t="shared" ref="K2:K33" si="0">C2+D2+E2+F2+G2+H2+I2+J2</f>
        <v>362.97999999999996</v>
      </c>
    </row>
    <row r="3" spans="1:13" ht="15" thickBot="1" x14ac:dyDescent="0.35">
      <c r="A3" s="3" t="s">
        <v>5</v>
      </c>
      <c r="B3" s="5">
        <v>5761</v>
      </c>
      <c r="C3" s="36">
        <v>317.58999999999997</v>
      </c>
      <c r="D3" s="4">
        <v>90.26</v>
      </c>
      <c r="E3" s="37">
        <v>61.77</v>
      </c>
      <c r="F3" s="31">
        <f>ROUNDDOWN((C3)*$M$1,2)</f>
        <v>15.87</v>
      </c>
      <c r="G3" s="37">
        <v>15.24</v>
      </c>
      <c r="H3" s="37">
        <v>16.72</v>
      </c>
      <c r="I3" s="37">
        <v>21.8</v>
      </c>
      <c r="J3" s="38">
        <v>3.18</v>
      </c>
      <c r="K3" s="35">
        <f t="shared" si="0"/>
        <v>542.42999999999984</v>
      </c>
    </row>
    <row r="4" spans="1:13" ht="15" thickBot="1" x14ac:dyDescent="0.35">
      <c r="A4" s="3" t="s">
        <v>6</v>
      </c>
      <c r="B4" s="5">
        <v>9603</v>
      </c>
      <c r="C4" s="36">
        <v>495.89</v>
      </c>
      <c r="D4" s="4">
        <v>140.93</v>
      </c>
      <c r="E4" s="37">
        <v>96.46</v>
      </c>
      <c r="F4" s="31">
        <f>ROUNDDOWN((C4)*$M$1,2)</f>
        <v>24.79</v>
      </c>
      <c r="G4" s="37">
        <v>23.8</v>
      </c>
      <c r="H4" s="37">
        <v>26.1</v>
      </c>
      <c r="I4" s="37">
        <v>34.03</v>
      </c>
      <c r="J4" s="38">
        <v>4.96</v>
      </c>
      <c r="K4" s="35">
        <f t="shared" si="0"/>
        <v>846.95999999999992</v>
      </c>
    </row>
    <row r="5" spans="1:13" ht="15" thickBot="1" x14ac:dyDescent="0.35">
      <c r="A5" s="3" t="s">
        <v>7</v>
      </c>
      <c r="B5" s="5">
        <v>19210</v>
      </c>
      <c r="C5" s="36">
        <v>708.41</v>
      </c>
      <c r="D5" s="4">
        <v>201.34</v>
      </c>
      <c r="E5" s="37">
        <v>137.80000000000001</v>
      </c>
      <c r="F5" s="31">
        <f>ROUNDDOWN((C5)*$M$1,2)</f>
        <v>35.42</v>
      </c>
      <c r="G5" s="37">
        <v>34</v>
      </c>
      <c r="H5" s="37">
        <v>37.28</v>
      </c>
      <c r="I5" s="37">
        <v>48.62</v>
      </c>
      <c r="J5" s="38">
        <v>7.08</v>
      </c>
      <c r="K5" s="35">
        <f t="shared" si="0"/>
        <v>1209.9499999999998</v>
      </c>
    </row>
    <row r="6" spans="1:13" ht="15" thickBot="1" x14ac:dyDescent="0.35">
      <c r="A6" s="3" t="s">
        <v>8</v>
      </c>
      <c r="B6" s="5">
        <v>38420</v>
      </c>
      <c r="C6" s="36">
        <v>957.54</v>
      </c>
      <c r="D6" s="4">
        <v>272.14</v>
      </c>
      <c r="E6" s="37">
        <v>186.27</v>
      </c>
      <c r="F6" s="31">
        <f>ROUNDDOWN((C6)*$M$1,2)</f>
        <v>47.87</v>
      </c>
      <c r="G6" s="37">
        <v>45.96</v>
      </c>
      <c r="H6" s="37">
        <v>50.4</v>
      </c>
      <c r="I6" s="37">
        <v>65.72</v>
      </c>
      <c r="J6" s="38">
        <v>9.58</v>
      </c>
      <c r="K6" s="35">
        <f t="shared" si="0"/>
        <v>1635.4799999999998</v>
      </c>
    </row>
    <row r="7" spans="1:13" ht="15" thickBot="1" x14ac:dyDescent="0.35">
      <c r="A7" s="3" t="s">
        <v>9</v>
      </c>
      <c r="B7" s="5">
        <v>76840</v>
      </c>
      <c r="C7" s="36">
        <v>1135.9000000000001</v>
      </c>
      <c r="D7" s="4">
        <v>322.83</v>
      </c>
      <c r="E7" s="37">
        <v>220.96</v>
      </c>
      <c r="F7" s="31">
        <f>ROUNDDOWN((C7)*$M$1,2)</f>
        <v>56.79</v>
      </c>
      <c r="G7" s="37">
        <v>54.52</v>
      </c>
      <c r="H7" s="37">
        <v>59.78</v>
      </c>
      <c r="I7" s="37">
        <v>77.959999999999994</v>
      </c>
      <c r="J7" s="38">
        <v>11.36</v>
      </c>
      <c r="K7" s="35">
        <f t="shared" si="0"/>
        <v>1940.1</v>
      </c>
    </row>
    <row r="8" spans="1:13" ht="15" thickBot="1" x14ac:dyDescent="0.35">
      <c r="A8" s="3" t="s">
        <v>10</v>
      </c>
      <c r="B8" s="5">
        <v>115260</v>
      </c>
      <c r="C8" s="36">
        <v>1348.4200000000003</v>
      </c>
      <c r="D8" s="4">
        <v>383.23</v>
      </c>
      <c r="E8" s="37">
        <v>262.3</v>
      </c>
      <c r="F8" s="31">
        <f>ROUNDDOWN((C8)*$M$1,2)</f>
        <v>67.42</v>
      </c>
      <c r="G8" s="37">
        <v>64.72</v>
      </c>
      <c r="H8" s="37">
        <v>70.97</v>
      </c>
      <c r="I8" s="37">
        <v>92.54</v>
      </c>
      <c r="J8" s="38">
        <v>13.48</v>
      </c>
      <c r="K8" s="35">
        <f t="shared" si="0"/>
        <v>2303.08</v>
      </c>
    </row>
    <row r="9" spans="1:13" ht="15" thickBot="1" x14ac:dyDescent="0.35">
      <c r="A9" s="3" t="s">
        <v>11</v>
      </c>
      <c r="B9" s="5">
        <v>153680</v>
      </c>
      <c r="C9" s="36">
        <v>1597.5599999999997</v>
      </c>
      <c r="D9" s="4">
        <v>454.04</v>
      </c>
      <c r="E9" s="37">
        <v>310.76</v>
      </c>
      <c r="F9" s="31">
        <f>ROUNDDOWN((C9)*$M$1,2)</f>
        <v>79.87</v>
      </c>
      <c r="G9" s="37">
        <v>76.680000000000007</v>
      </c>
      <c r="H9" s="37">
        <v>84.08</v>
      </c>
      <c r="I9" s="37">
        <v>109.64</v>
      </c>
      <c r="J9" s="38">
        <v>15.98</v>
      </c>
      <c r="K9" s="35">
        <f t="shared" si="0"/>
        <v>2728.6099999999992</v>
      </c>
    </row>
    <row r="10" spans="1:13" ht="15" thickBot="1" x14ac:dyDescent="0.35">
      <c r="A10" s="3" t="s">
        <v>12</v>
      </c>
      <c r="B10" s="5">
        <v>192100</v>
      </c>
      <c r="C10" s="36">
        <v>1810.12</v>
      </c>
      <c r="D10" s="4">
        <v>514.46</v>
      </c>
      <c r="E10" s="37">
        <v>352.11</v>
      </c>
      <c r="F10" s="31">
        <f>ROUNDDOWN((C10)*$M$1,2)</f>
        <v>90.5</v>
      </c>
      <c r="G10" s="37">
        <v>86.89</v>
      </c>
      <c r="H10" s="37">
        <v>95.27</v>
      </c>
      <c r="I10" s="37">
        <v>124.23</v>
      </c>
      <c r="J10" s="38">
        <v>18.100000000000001</v>
      </c>
      <c r="K10" s="35">
        <f t="shared" si="0"/>
        <v>3091.68</v>
      </c>
    </row>
    <row r="11" spans="1:13" ht="15" thickBot="1" x14ac:dyDescent="0.35">
      <c r="A11" s="3" t="s">
        <v>13</v>
      </c>
      <c r="B11" s="5">
        <v>230520</v>
      </c>
      <c r="C11" s="36">
        <v>2025.08</v>
      </c>
      <c r="D11" s="4">
        <v>575.54</v>
      </c>
      <c r="E11" s="37">
        <v>393.92</v>
      </c>
      <c r="F11" s="31">
        <f>ROUNDDOWN((C11)*$M$1,2)</f>
        <v>101.25</v>
      </c>
      <c r="G11" s="37">
        <v>97.2</v>
      </c>
      <c r="H11" s="37">
        <v>106.58</v>
      </c>
      <c r="I11" s="37">
        <v>138.97999999999999</v>
      </c>
      <c r="J11" s="38">
        <v>20.25</v>
      </c>
      <c r="K11" s="35">
        <f t="shared" si="0"/>
        <v>3458.7999999999997</v>
      </c>
    </row>
    <row r="12" spans="1:13" ht="15" thickBot="1" x14ac:dyDescent="0.35">
      <c r="A12" s="3" t="s">
        <v>14</v>
      </c>
      <c r="B12" s="5">
        <v>268940</v>
      </c>
      <c r="C12" s="36">
        <v>2271.77</v>
      </c>
      <c r="D12" s="4">
        <v>645.66</v>
      </c>
      <c r="E12" s="37">
        <v>441.92</v>
      </c>
      <c r="F12" s="31">
        <f>ROUNDDOWN((C12)*$M$1,2)</f>
        <v>113.58</v>
      </c>
      <c r="G12" s="37">
        <v>109.05</v>
      </c>
      <c r="H12" s="37">
        <v>119.57</v>
      </c>
      <c r="I12" s="37">
        <v>155.91999999999999</v>
      </c>
      <c r="J12" s="38">
        <v>22.72</v>
      </c>
      <c r="K12" s="35">
        <f t="shared" si="0"/>
        <v>3880.19</v>
      </c>
    </row>
    <row r="13" spans="1:13" ht="15" thickBot="1" x14ac:dyDescent="0.35">
      <c r="A13" s="3" t="s">
        <v>15</v>
      </c>
      <c r="B13" s="5">
        <v>307360</v>
      </c>
      <c r="C13" s="36">
        <v>2486.77</v>
      </c>
      <c r="D13" s="4">
        <v>706.77</v>
      </c>
      <c r="E13" s="37">
        <v>483.74</v>
      </c>
      <c r="F13" s="31">
        <f>ROUNDDOWN((C13)*$M$1,2)</f>
        <v>124.33</v>
      </c>
      <c r="G13" s="37">
        <v>119.36</v>
      </c>
      <c r="H13" s="37">
        <v>130.88</v>
      </c>
      <c r="I13" s="37">
        <v>170.67</v>
      </c>
      <c r="J13" s="38">
        <v>24.87</v>
      </c>
      <c r="K13" s="35">
        <f t="shared" si="0"/>
        <v>4247.3899999999994</v>
      </c>
    </row>
    <row r="14" spans="1:13" ht="15" thickBot="1" x14ac:dyDescent="0.35">
      <c r="A14" s="3" t="s">
        <v>16</v>
      </c>
      <c r="B14" s="5">
        <v>330146</v>
      </c>
      <c r="C14" s="36">
        <v>2735.91</v>
      </c>
      <c r="D14" s="4">
        <v>777.58</v>
      </c>
      <c r="E14" s="37">
        <v>532.20000000000005</v>
      </c>
      <c r="F14" s="31">
        <f>ROUNDDOWN((C14)*$M$1,2)</f>
        <v>136.79</v>
      </c>
      <c r="G14" s="37">
        <v>131.32</v>
      </c>
      <c r="H14" s="37">
        <v>144</v>
      </c>
      <c r="I14" s="37">
        <v>187.77</v>
      </c>
      <c r="J14" s="38">
        <v>27.36</v>
      </c>
      <c r="K14" s="35">
        <f t="shared" si="0"/>
        <v>4672.9299999999994</v>
      </c>
    </row>
    <row r="15" spans="1:13" ht="15" thickBot="1" x14ac:dyDescent="0.35">
      <c r="A15" s="3" t="s">
        <v>17</v>
      </c>
      <c r="B15" s="5">
        <v>384200</v>
      </c>
      <c r="C15" s="36">
        <v>2911.79</v>
      </c>
      <c r="D15" s="4">
        <v>827.56</v>
      </c>
      <c r="E15" s="37">
        <v>566.41</v>
      </c>
      <c r="F15" s="31">
        <f>ROUNDDOWN((C15)*$M$1,2)</f>
        <v>145.58000000000001</v>
      </c>
      <c r="G15" s="37">
        <v>139.77000000000001</v>
      </c>
      <c r="H15" s="37">
        <v>153.25</v>
      </c>
      <c r="I15" s="37">
        <v>199.84</v>
      </c>
      <c r="J15" s="38">
        <v>29.12</v>
      </c>
      <c r="K15" s="35">
        <f t="shared" si="0"/>
        <v>4973.3200000000006</v>
      </c>
    </row>
    <row r="16" spans="1:13" ht="15" thickBot="1" x14ac:dyDescent="0.35">
      <c r="A16" s="3" t="s">
        <v>18</v>
      </c>
      <c r="B16" s="5">
        <v>768400</v>
      </c>
      <c r="C16" s="36">
        <v>3231.8</v>
      </c>
      <c r="D16" s="4">
        <v>918.51</v>
      </c>
      <c r="E16" s="37">
        <v>628.66000000000008</v>
      </c>
      <c r="F16" s="31">
        <f>ROUNDDOWN((C16)*$M$1,2)</f>
        <v>161.59</v>
      </c>
      <c r="G16" s="37">
        <v>155.13</v>
      </c>
      <c r="H16" s="37">
        <v>170.09</v>
      </c>
      <c r="I16" s="37">
        <v>221.8</v>
      </c>
      <c r="J16" s="38">
        <v>32.32</v>
      </c>
      <c r="K16" s="35">
        <f t="shared" si="0"/>
        <v>5519.9000000000005</v>
      </c>
    </row>
    <row r="17" spans="1:11" ht="15" thickBot="1" x14ac:dyDescent="0.35">
      <c r="A17" s="3" t="s">
        <v>19</v>
      </c>
      <c r="B17" s="5">
        <v>1152600</v>
      </c>
      <c r="C17" s="36">
        <v>3588.44</v>
      </c>
      <c r="D17" s="4">
        <v>1019.86</v>
      </c>
      <c r="E17" s="37">
        <v>698.04</v>
      </c>
      <c r="F17" s="31">
        <f>ROUNDDOWN((C17)*$M$1,2)</f>
        <v>179.42</v>
      </c>
      <c r="G17" s="37">
        <v>172.25</v>
      </c>
      <c r="H17" s="37">
        <v>188.87</v>
      </c>
      <c r="I17" s="37">
        <v>246.28</v>
      </c>
      <c r="J17" s="38">
        <v>35.880000000000003</v>
      </c>
      <c r="K17" s="35">
        <f t="shared" si="0"/>
        <v>6129.04</v>
      </c>
    </row>
    <row r="18" spans="1:11" ht="15" thickBot="1" x14ac:dyDescent="0.35">
      <c r="A18" s="3" t="s">
        <v>20</v>
      </c>
      <c r="B18" s="5">
        <v>1536800</v>
      </c>
      <c r="C18" s="36">
        <v>3979.28</v>
      </c>
      <c r="D18" s="4">
        <v>1130.95</v>
      </c>
      <c r="E18" s="37">
        <v>774.07</v>
      </c>
      <c r="F18" s="31">
        <f>ROUNDDOWN((C18)*$M$1,2)</f>
        <v>198.96</v>
      </c>
      <c r="G18" s="37">
        <v>191.01</v>
      </c>
      <c r="H18" s="37">
        <v>209.44</v>
      </c>
      <c r="I18" s="37">
        <v>273.10000000000002</v>
      </c>
      <c r="J18" s="38">
        <v>39.79</v>
      </c>
      <c r="K18" s="35">
        <f t="shared" si="0"/>
        <v>6796.6</v>
      </c>
    </row>
    <row r="19" spans="1:11" ht="15" thickBot="1" x14ac:dyDescent="0.35">
      <c r="A19" s="3" t="s">
        <v>21</v>
      </c>
      <c r="B19" s="5">
        <v>2345066</v>
      </c>
      <c r="C19" s="36">
        <v>4397</v>
      </c>
      <c r="D19" s="4">
        <v>1249.67</v>
      </c>
      <c r="E19" s="37">
        <v>855.32999999999993</v>
      </c>
      <c r="F19" s="31">
        <f>ROUNDDOWN((C19)*$M$1,2)</f>
        <v>219.85</v>
      </c>
      <c r="G19" s="37">
        <v>211.06</v>
      </c>
      <c r="H19" s="37">
        <v>231.42</v>
      </c>
      <c r="I19" s="37">
        <v>301.77</v>
      </c>
      <c r="J19" s="38">
        <v>43.97</v>
      </c>
      <c r="K19" s="35">
        <f t="shared" si="0"/>
        <v>7510.0700000000006</v>
      </c>
    </row>
    <row r="20" spans="1:11" ht="15" thickBot="1" x14ac:dyDescent="0.35">
      <c r="A20" s="3" t="s">
        <v>22</v>
      </c>
      <c r="B20" s="5">
        <v>3908444</v>
      </c>
      <c r="C20" s="36">
        <v>6106.97</v>
      </c>
      <c r="D20" s="4">
        <v>1735.67</v>
      </c>
      <c r="E20" s="37">
        <v>1187.96</v>
      </c>
      <c r="F20" s="31">
        <f>ROUNDDOWN((C20)*$M$1,2)</f>
        <v>305.33999999999997</v>
      </c>
      <c r="G20" s="37">
        <v>293.13</v>
      </c>
      <c r="H20" s="37">
        <v>321.42</v>
      </c>
      <c r="I20" s="37">
        <v>419.13</v>
      </c>
      <c r="J20" s="38">
        <v>61.07</v>
      </c>
      <c r="K20" s="35">
        <f t="shared" si="0"/>
        <v>10430.689999999999</v>
      </c>
    </row>
    <row r="21" spans="1:11" ht="15" thickBot="1" x14ac:dyDescent="0.35">
      <c r="A21" s="3" t="s">
        <v>23</v>
      </c>
      <c r="B21" s="5">
        <v>5862665</v>
      </c>
      <c r="C21" s="36">
        <v>7939.03</v>
      </c>
      <c r="D21" s="4">
        <v>2256.35</v>
      </c>
      <c r="E21" s="37">
        <v>1544.35</v>
      </c>
      <c r="F21" s="31">
        <f>ROUNDDOWN((C21)*$M$1,2)</f>
        <v>396.95</v>
      </c>
      <c r="G21" s="37">
        <v>381.07</v>
      </c>
      <c r="H21" s="37">
        <v>417.84</v>
      </c>
      <c r="I21" s="37">
        <v>544.87</v>
      </c>
      <c r="J21" s="38">
        <v>79.39</v>
      </c>
      <c r="K21" s="35">
        <f t="shared" si="0"/>
        <v>13559.85</v>
      </c>
    </row>
    <row r="22" spans="1:11" ht="15" thickBot="1" x14ac:dyDescent="0.35">
      <c r="A22" s="3" t="s">
        <v>24</v>
      </c>
      <c r="B22" s="5">
        <v>7816887</v>
      </c>
      <c r="C22" s="36">
        <v>9771.1299999999992</v>
      </c>
      <c r="D22" s="4">
        <v>2777.06</v>
      </c>
      <c r="E22" s="37">
        <v>1900.74</v>
      </c>
      <c r="F22" s="31">
        <f>ROUNDDOWN((C22)*$M$1,2)</f>
        <v>488.55</v>
      </c>
      <c r="G22" s="37">
        <v>469.01</v>
      </c>
      <c r="H22" s="37">
        <v>514.27</v>
      </c>
      <c r="I22" s="37">
        <v>670.61</v>
      </c>
      <c r="J22" s="38">
        <v>97.71</v>
      </c>
      <c r="K22" s="35">
        <f t="shared" si="0"/>
        <v>16689.079999999998</v>
      </c>
    </row>
    <row r="23" spans="1:11" ht="15" thickBot="1" x14ac:dyDescent="0.35">
      <c r="A23" s="3" t="s">
        <v>25</v>
      </c>
      <c r="B23" s="5">
        <v>9771109</v>
      </c>
      <c r="C23" s="36">
        <v>11603.200000000003</v>
      </c>
      <c r="D23" s="4">
        <v>3297.75</v>
      </c>
      <c r="E23" s="37">
        <v>2257.12</v>
      </c>
      <c r="F23" s="31">
        <f>ROUNDDOWN((C23)*$M$1,2)</f>
        <v>580.16</v>
      </c>
      <c r="G23" s="37">
        <v>556.95000000000005</v>
      </c>
      <c r="H23" s="37">
        <v>610.69000000000005</v>
      </c>
      <c r="I23" s="37">
        <v>796.35</v>
      </c>
      <c r="J23" s="38">
        <v>116.03</v>
      </c>
      <c r="K23" s="35">
        <f t="shared" si="0"/>
        <v>19818.25</v>
      </c>
    </row>
    <row r="24" spans="1:11" ht="15" thickBot="1" x14ac:dyDescent="0.35">
      <c r="A24" s="3" t="s">
        <v>26</v>
      </c>
      <c r="B24" s="5">
        <v>11725331</v>
      </c>
      <c r="C24" s="36">
        <v>13435.25</v>
      </c>
      <c r="D24" s="4">
        <v>3818.44</v>
      </c>
      <c r="E24" s="37">
        <v>2613.5099999999998</v>
      </c>
      <c r="F24" s="31">
        <f>ROUNDDOWN((C24)*$M$1,2)</f>
        <v>671.76</v>
      </c>
      <c r="G24" s="37">
        <v>644.89</v>
      </c>
      <c r="H24" s="37">
        <v>707.12</v>
      </c>
      <c r="I24" s="37">
        <v>922.08</v>
      </c>
      <c r="J24" s="38">
        <v>134.35</v>
      </c>
      <c r="K24" s="35">
        <f t="shared" si="0"/>
        <v>22947.399999999994</v>
      </c>
    </row>
    <row r="25" spans="1:11" ht="15" thickBot="1" x14ac:dyDescent="0.35">
      <c r="A25" s="3" t="s">
        <v>27</v>
      </c>
      <c r="B25" s="5">
        <v>13679552</v>
      </c>
      <c r="C25" s="36">
        <v>15267.370000000003</v>
      </c>
      <c r="D25" s="4">
        <v>4339.1400000000003</v>
      </c>
      <c r="E25" s="37">
        <v>2969.9</v>
      </c>
      <c r="F25" s="31">
        <f>ROUNDDOWN((C25)*$M$1,2)</f>
        <v>763.36</v>
      </c>
      <c r="G25" s="37">
        <v>732.83</v>
      </c>
      <c r="H25" s="37">
        <v>803.54</v>
      </c>
      <c r="I25" s="37">
        <v>1047.82</v>
      </c>
      <c r="J25" s="38">
        <v>152.66999999999999</v>
      </c>
      <c r="K25" s="35">
        <f t="shared" si="0"/>
        <v>26076.630000000005</v>
      </c>
    </row>
    <row r="26" spans="1:11" ht="15" thickBot="1" x14ac:dyDescent="0.35">
      <c r="A26" s="3" t="s">
        <v>28</v>
      </c>
      <c r="B26" s="5">
        <v>15633774</v>
      </c>
      <c r="C26" s="36">
        <v>17099.419999999998</v>
      </c>
      <c r="D26" s="4">
        <v>4859.84</v>
      </c>
      <c r="E26" s="37">
        <v>3326.28</v>
      </c>
      <c r="F26" s="31">
        <f>ROUNDDOWN((C26)*$M$1,2)</f>
        <v>854.97</v>
      </c>
      <c r="G26" s="37">
        <v>820.77</v>
      </c>
      <c r="H26" s="37">
        <v>899.97</v>
      </c>
      <c r="I26" s="37">
        <v>1173.56</v>
      </c>
      <c r="J26" s="38">
        <v>170.99</v>
      </c>
      <c r="K26" s="35">
        <f t="shared" si="0"/>
        <v>29205.800000000003</v>
      </c>
    </row>
    <row r="27" spans="1:11" ht="15" thickBot="1" x14ac:dyDescent="0.35">
      <c r="A27" s="3" t="s">
        <v>29</v>
      </c>
      <c r="B27" s="5">
        <v>17587996</v>
      </c>
      <c r="C27" s="36">
        <v>18931.510000000002</v>
      </c>
      <c r="D27" s="4">
        <v>5380.53</v>
      </c>
      <c r="E27" s="37">
        <v>3682.67</v>
      </c>
      <c r="F27" s="31">
        <f>ROUNDDOWN((C27)*$M$1,2)</f>
        <v>946.57</v>
      </c>
      <c r="G27" s="37">
        <v>908.71</v>
      </c>
      <c r="H27" s="37">
        <v>996.39</v>
      </c>
      <c r="I27" s="37">
        <v>1299.3</v>
      </c>
      <c r="J27" s="38">
        <v>189.32</v>
      </c>
      <c r="K27" s="35">
        <f t="shared" si="0"/>
        <v>32334.999999999996</v>
      </c>
    </row>
    <row r="28" spans="1:11" ht="15" thickBot="1" x14ac:dyDescent="0.35">
      <c r="A28" s="3" t="s">
        <v>30</v>
      </c>
      <c r="B28" s="5">
        <v>19542217</v>
      </c>
      <c r="C28" s="36">
        <v>20763.639999999996</v>
      </c>
      <c r="D28" s="4">
        <v>5901.24</v>
      </c>
      <c r="E28" s="37">
        <v>4039.07</v>
      </c>
      <c r="F28" s="31">
        <f>ROUNDDOWN((C28)*$M$1,2)</f>
        <v>1038.18</v>
      </c>
      <c r="G28" s="37">
        <v>996.65</v>
      </c>
      <c r="H28" s="37">
        <v>1092.82</v>
      </c>
      <c r="I28" s="37">
        <v>1425.04</v>
      </c>
      <c r="J28" s="38">
        <v>207.64</v>
      </c>
      <c r="K28" s="35">
        <f t="shared" si="0"/>
        <v>35464.28</v>
      </c>
    </row>
    <row r="29" spans="1:11" ht="15" thickBot="1" x14ac:dyDescent="0.35">
      <c r="A29" s="3" t="s">
        <v>31</v>
      </c>
      <c r="B29" s="5">
        <v>23450661</v>
      </c>
      <c r="C29" s="36">
        <v>24427.800000000003</v>
      </c>
      <c r="D29" s="4">
        <v>6942.64</v>
      </c>
      <c r="E29" s="37">
        <v>4751.84</v>
      </c>
      <c r="F29" s="31">
        <f>ROUNDDOWN((C29)*$M$1,2)</f>
        <v>1221.3900000000001</v>
      </c>
      <c r="G29" s="37">
        <v>1172.53</v>
      </c>
      <c r="H29" s="37">
        <v>1285.67</v>
      </c>
      <c r="I29" s="37">
        <v>1676.52</v>
      </c>
      <c r="J29" s="38">
        <v>244.28</v>
      </c>
      <c r="K29" s="35">
        <f t="shared" si="0"/>
        <v>41722.669999999991</v>
      </c>
    </row>
    <row r="30" spans="1:11" ht="15" thickBot="1" x14ac:dyDescent="0.35">
      <c r="A30" s="3" t="s">
        <v>32</v>
      </c>
      <c r="B30" s="5">
        <v>27359105</v>
      </c>
      <c r="C30" s="36">
        <v>28091.94</v>
      </c>
      <c r="D30" s="4">
        <v>7984.03</v>
      </c>
      <c r="E30" s="37">
        <v>5464.62</v>
      </c>
      <c r="F30" s="31">
        <f>ROUNDDOWN((C30)*$M$1,2)</f>
        <v>1404.59</v>
      </c>
      <c r="G30" s="37">
        <v>1348.41</v>
      </c>
      <c r="H30" s="37">
        <v>1478.52</v>
      </c>
      <c r="I30" s="37">
        <v>1927.99</v>
      </c>
      <c r="J30" s="38">
        <v>280.92</v>
      </c>
      <c r="K30" s="35">
        <f t="shared" si="0"/>
        <v>47981.02</v>
      </c>
    </row>
    <row r="31" spans="1:11" ht="15" thickBot="1" x14ac:dyDescent="0.35">
      <c r="A31" s="3" t="s">
        <v>33</v>
      </c>
      <c r="B31" s="5">
        <v>31267548</v>
      </c>
      <c r="C31" s="36">
        <v>31756.119999999995</v>
      </c>
      <c r="D31" s="4">
        <v>9025.42</v>
      </c>
      <c r="E31" s="37">
        <v>6177.39</v>
      </c>
      <c r="F31" s="31">
        <f>ROUNDDOWN((C31)*$M$1,2)</f>
        <v>1587.8</v>
      </c>
      <c r="G31" s="37">
        <v>1524.29</v>
      </c>
      <c r="H31" s="37">
        <v>1671.37</v>
      </c>
      <c r="I31" s="37">
        <v>2179.4699999999998</v>
      </c>
      <c r="J31" s="38">
        <v>317.56</v>
      </c>
      <c r="K31" s="35">
        <f t="shared" si="0"/>
        <v>54239.42</v>
      </c>
    </row>
    <row r="32" spans="1:11" x14ac:dyDescent="0.3">
      <c r="A32" s="6" t="s">
        <v>34</v>
      </c>
      <c r="B32" s="45">
        <v>35175992</v>
      </c>
      <c r="C32" s="77">
        <v>35420.239999999998</v>
      </c>
      <c r="D32" s="7">
        <v>10066.81</v>
      </c>
      <c r="E32" s="8">
        <v>6890.17</v>
      </c>
      <c r="F32" s="31">
        <f>ROUNDDOWN((C32)*$M$1,2)</f>
        <v>1771.01</v>
      </c>
      <c r="G32" s="8">
        <v>1700.17</v>
      </c>
      <c r="H32" s="8">
        <v>1864.22</v>
      </c>
      <c r="I32" s="8">
        <v>2430.9499999999998</v>
      </c>
      <c r="J32" s="78">
        <v>354.2</v>
      </c>
      <c r="K32" s="79">
        <f t="shared" si="0"/>
        <v>60497.76999999999</v>
      </c>
    </row>
    <row r="33" spans="1:11" x14ac:dyDescent="0.3">
      <c r="A33" s="80" t="s">
        <v>35</v>
      </c>
      <c r="B33" s="37">
        <v>0</v>
      </c>
      <c r="C33" s="37">
        <v>39084.46</v>
      </c>
      <c r="D33" s="37">
        <v>11108.22</v>
      </c>
      <c r="E33" s="37">
        <v>7602.95</v>
      </c>
      <c r="F33" s="37">
        <f>ROUNDDOWN((C33)*$M$1,2)</f>
        <v>1954.22</v>
      </c>
      <c r="G33" s="37">
        <v>1876.05</v>
      </c>
      <c r="H33" s="37">
        <v>2057.08</v>
      </c>
      <c r="I33" s="37">
        <v>2682.43</v>
      </c>
      <c r="J33" s="37">
        <v>390.84</v>
      </c>
      <c r="K33" s="81">
        <f t="shared" si="0"/>
        <v>66756.25</v>
      </c>
    </row>
    <row r="34" spans="1:11" x14ac:dyDescent="0.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</row>
    <row r="35" spans="1:11" ht="15" thickBot="1" x14ac:dyDescent="0.35">
      <c r="A35" s="12" t="s">
        <v>36</v>
      </c>
      <c r="B35" s="75"/>
      <c r="C35" s="75"/>
      <c r="D35" s="75"/>
      <c r="E35" s="75"/>
      <c r="F35" s="75"/>
      <c r="G35" s="75"/>
      <c r="H35" s="75"/>
      <c r="I35" s="75"/>
      <c r="J35" s="75"/>
      <c r="K35" s="76"/>
    </row>
    <row r="36" spans="1:11" ht="15" thickBot="1" x14ac:dyDescent="0.35">
      <c r="A36" s="13" t="s">
        <v>37</v>
      </c>
      <c r="B36" s="60"/>
      <c r="C36" s="41">
        <v>73.31</v>
      </c>
      <c r="D36" s="41">
        <v>20.83</v>
      </c>
      <c r="E36" s="37">
        <v>14.25</v>
      </c>
      <c r="F36" s="31">
        <f>ROUNDDOWN((C36)*$M$1,2)</f>
        <v>3.66</v>
      </c>
      <c r="G36" s="41">
        <v>3.52</v>
      </c>
      <c r="H36" s="41">
        <v>3.86</v>
      </c>
      <c r="I36" s="42">
        <v>5.03</v>
      </c>
      <c r="J36" s="5">
        <v>0.73</v>
      </c>
      <c r="K36" s="35">
        <f>C36+D36+E36+F36+G36+H36+I36+J36</f>
        <v>125.19</v>
      </c>
    </row>
    <row r="37" spans="1:11" ht="15" thickBot="1" x14ac:dyDescent="0.35">
      <c r="A37" s="43" t="s">
        <v>38</v>
      </c>
      <c r="B37" s="58"/>
      <c r="C37" s="37">
        <v>18.32</v>
      </c>
      <c r="D37" s="41">
        <v>5.21</v>
      </c>
      <c r="E37" s="37">
        <v>3.5500000000000003</v>
      </c>
      <c r="F37" s="31">
        <f>ROUNDDOWN((C37)*$M$1,2)</f>
        <v>0.91</v>
      </c>
      <c r="G37" s="41">
        <v>0.88</v>
      </c>
      <c r="H37" s="41">
        <v>0.96</v>
      </c>
      <c r="I37" s="42">
        <v>1.26</v>
      </c>
      <c r="J37" s="5">
        <v>0.18</v>
      </c>
      <c r="K37" s="35">
        <f>C37+D37+E37+F37+G37+H37+I37+J37</f>
        <v>31.270000000000003</v>
      </c>
    </row>
    <row r="38" spans="1:11" ht="15" thickBot="1" x14ac:dyDescent="0.35">
      <c r="A38" s="14" t="s">
        <v>39</v>
      </c>
      <c r="B38" s="61"/>
      <c r="C38" s="44">
        <v>36.61</v>
      </c>
      <c r="D38" s="41">
        <v>10.41</v>
      </c>
      <c r="E38" s="37">
        <v>7.12</v>
      </c>
      <c r="F38" s="31">
        <f>ROUNDDOWN((C38)*$M$1,2)</f>
        <v>1.83</v>
      </c>
      <c r="G38" s="41">
        <v>1.76</v>
      </c>
      <c r="H38" s="41">
        <v>1.93</v>
      </c>
      <c r="I38" s="42">
        <v>2.5099999999999998</v>
      </c>
      <c r="J38" s="45">
        <v>0.37</v>
      </c>
      <c r="K38" s="35">
        <f>C38+D38+E38+F38+G38+H38+I38+J38</f>
        <v>62.539999999999985</v>
      </c>
    </row>
    <row r="39" spans="1:11" ht="15" thickBot="1" x14ac:dyDescent="0.35">
      <c r="A39" s="15" t="s">
        <v>40</v>
      </c>
      <c r="B39" s="66"/>
      <c r="C39" s="66"/>
      <c r="D39" s="66"/>
      <c r="E39" s="66"/>
      <c r="F39" s="66"/>
      <c r="G39" s="66"/>
      <c r="H39" s="66"/>
      <c r="I39" s="66"/>
      <c r="J39" s="66"/>
      <c r="K39" s="67"/>
    </row>
    <row r="40" spans="1:11" ht="15" thickBot="1" x14ac:dyDescent="0.35">
      <c r="A40" s="13" t="s">
        <v>41</v>
      </c>
      <c r="B40" s="60"/>
      <c r="C40" s="46">
        <v>97.74</v>
      </c>
      <c r="D40" s="41">
        <v>27.78</v>
      </c>
      <c r="E40" s="37">
        <v>19.010000000000002</v>
      </c>
      <c r="F40" s="31">
        <f>ROUNDDOWN((C40)*$M$1,2)</f>
        <v>4.88</v>
      </c>
      <c r="G40" s="41">
        <v>4.6900000000000004</v>
      </c>
      <c r="H40" s="41">
        <v>5.14</v>
      </c>
      <c r="I40" s="42">
        <v>6.71</v>
      </c>
      <c r="J40" s="20">
        <v>0.98</v>
      </c>
      <c r="K40" s="35">
        <f>C40+D40+E40+F40+G40+H40+I40+J40</f>
        <v>166.92999999999998</v>
      </c>
    </row>
    <row r="41" spans="1:11" ht="15" thickBot="1" x14ac:dyDescent="0.35">
      <c r="A41" s="14" t="s">
        <v>42</v>
      </c>
      <c r="B41" s="61"/>
      <c r="C41" s="47">
        <v>24.45</v>
      </c>
      <c r="D41" s="41">
        <v>6.95</v>
      </c>
      <c r="E41" s="37">
        <v>4.75</v>
      </c>
      <c r="F41" s="31">
        <f>ROUNDDOWN((C41)*$M$1,2)</f>
        <v>1.22</v>
      </c>
      <c r="G41" s="41">
        <v>1.17</v>
      </c>
      <c r="H41" s="41">
        <v>1.29</v>
      </c>
      <c r="I41" s="42">
        <v>1.68</v>
      </c>
      <c r="J41" s="21">
        <v>0.24</v>
      </c>
      <c r="K41" s="35">
        <f>C41+D41+E41+F41+G41+H41+I41+J41</f>
        <v>41.75</v>
      </c>
    </row>
    <row r="42" spans="1:11" ht="15" thickBot="1" x14ac:dyDescent="0.35">
      <c r="A42" s="16" t="s">
        <v>43</v>
      </c>
      <c r="B42" s="66"/>
      <c r="C42" s="66"/>
      <c r="D42" s="66"/>
      <c r="E42" s="66"/>
      <c r="F42" s="66"/>
      <c r="G42" s="66"/>
      <c r="H42" s="66"/>
      <c r="I42" s="66"/>
      <c r="J42" s="66"/>
      <c r="K42" s="67"/>
    </row>
    <row r="43" spans="1:11" ht="15" thickBot="1" x14ac:dyDescent="0.35">
      <c r="A43" s="13" t="s">
        <v>44</v>
      </c>
      <c r="B43" s="60"/>
      <c r="C43" s="46">
        <v>195.43</v>
      </c>
      <c r="D43" s="41">
        <v>55.54</v>
      </c>
      <c r="E43" s="37">
        <v>38.01</v>
      </c>
      <c r="F43" s="31">
        <f>ROUNDDOWN((C43)*$M$1,2)</f>
        <v>9.77</v>
      </c>
      <c r="G43" s="41">
        <v>9.3800000000000008</v>
      </c>
      <c r="H43" s="41">
        <v>10.29</v>
      </c>
      <c r="I43" s="42">
        <v>13.41</v>
      </c>
      <c r="J43" s="20">
        <v>1.95</v>
      </c>
      <c r="K43" s="35">
        <f>C43+D43+E43+F43+G43+H43+I43+J43</f>
        <v>333.78000000000003</v>
      </c>
    </row>
    <row r="44" spans="1:11" ht="15" thickBot="1" x14ac:dyDescent="0.35">
      <c r="A44" s="14" t="s">
        <v>45</v>
      </c>
      <c r="B44" s="61"/>
      <c r="C44" s="47">
        <v>48.849999999999994</v>
      </c>
      <c r="D44" s="41">
        <v>13.89</v>
      </c>
      <c r="E44" s="37">
        <v>9.5</v>
      </c>
      <c r="F44" s="31">
        <f>ROUNDDOWN((C44)*$M$1,2)</f>
        <v>2.44</v>
      </c>
      <c r="G44" s="41">
        <v>2.35</v>
      </c>
      <c r="H44" s="41">
        <v>2.57</v>
      </c>
      <c r="I44" s="42">
        <v>3.35</v>
      </c>
      <c r="J44" s="48">
        <v>0.49</v>
      </c>
      <c r="K44" s="2">
        <f>C44+D44+E44+F44+G44+H44+I44+J44</f>
        <v>83.439999999999969</v>
      </c>
    </row>
    <row r="45" spans="1:11" ht="15" thickBot="1" x14ac:dyDescent="0.35">
      <c r="A45" s="68" t="s">
        <v>46</v>
      </c>
      <c r="B45" s="69"/>
      <c r="C45" s="69"/>
      <c r="D45" s="69"/>
      <c r="E45" s="69"/>
      <c r="F45" s="69"/>
      <c r="G45" s="69"/>
      <c r="H45" s="69"/>
      <c r="I45" s="69"/>
      <c r="J45" s="69"/>
      <c r="K45" s="70"/>
    </row>
    <row r="46" spans="1:11" ht="15" thickBot="1" x14ac:dyDescent="0.35">
      <c r="A46" s="17"/>
      <c r="B46" s="18"/>
      <c r="C46" s="19"/>
      <c r="D46" s="19"/>
      <c r="E46" s="19"/>
      <c r="F46" s="19"/>
      <c r="G46" s="19"/>
      <c r="H46" s="19"/>
      <c r="I46" s="19"/>
      <c r="J46" s="25"/>
      <c r="K46" s="49"/>
    </row>
    <row r="47" spans="1:11" ht="15" thickBot="1" x14ac:dyDescent="0.35">
      <c r="A47" s="9" t="s">
        <v>47</v>
      </c>
      <c r="B47" s="59"/>
      <c r="C47" s="10">
        <v>3.0999999999999996</v>
      </c>
      <c r="D47" s="10">
        <v>0.88</v>
      </c>
      <c r="E47" s="10">
        <v>0.59000000000000008</v>
      </c>
      <c r="F47" s="31">
        <f>ROUNDDOWN((C47)*$M$1,2)</f>
        <v>0.15</v>
      </c>
      <c r="G47" s="10">
        <v>0.15</v>
      </c>
      <c r="H47" s="10">
        <v>0.16</v>
      </c>
      <c r="I47" s="10">
        <v>0.21</v>
      </c>
      <c r="J47" s="10">
        <v>0.03</v>
      </c>
      <c r="K47" s="2">
        <f>C47+D47+E47+F47+G47+H47+I47+J47</f>
        <v>5.2700000000000005</v>
      </c>
    </row>
    <row r="48" spans="1:11" ht="15" thickBot="1" x14ac:dyDescent="0.35">
      <c r="A48" s="17"/>
      <c r="B48" s="18"/>
      <c r="C48" s="19"/>
      <c r="D48" s="19"/>
      <c r="E48" s="19"/>
      <c r="F48" s="19"/>
      <c r="G48" s="19"/>
      <c r="H48" s="19"/>
      <c r="I48" s="19"/>
      <c r="J48" s="25"/>
      <c r="K48" s="49"/>
    </row>
    <row r="49" spans="1:11" x14ac:dyDescent="0.3">
      <c r="A49" s="11" t="s">
        <v>48</v>
      </c>
      <c r="B49" s="71"/>
      <c r="C49" s="71"/>
      <c r="D49" s="71"/>
      <c r="E49" s="71"/>
      <c r="F49" s="71"/>
      <c r="G49" s="71"/>
      <c r="H49" s="71"/>
      <c r="I49" s="71"/>
      <c r="J49" s="71"/>
      <c r="K49" s="72"/>
    </row>
    <row r="50" spans="1:11" ht="15" thickBot="1" x14ac:dyDescent="0.35">
      <c r="A50" s="12" t="s">
        <v>49</v>
      </c>
      <c r="B50" s="73"/>
      <c r="C50" s="73"/>
      <c r="D50" s="73"/>
      <c r="E50" s="73"/>
      <c r="F50" s="73"/>
      <c r="G50" s="73"/>
      <c r="H50" s="73"/>
      <c r="I50" s="73"/>
      <c r="J50" s="73"/>
      <c r="K50" s="74"/>
    </row>
    <row r="51" spans="1:11" ht="15" thickBot="1" x14ac:dyDescent="0.35">
      <c r="A51" s="13" t="s">
        <v>50</v>
      </c>
      <c r="B51" s="60"/>
      <c r="C51" s="36">
        <v>5.32</v>
      </c>
      <c r="D51" s="4">
        <v>1.52</v>
      </c>
      <c r="E51" s="37">
        <v>1.03</v>
      </c>
      <c r="F51" s="31">
        <f>ROUNDDOWN((C51)*$M$1,2)</f>
        <v>0.26</v>
      </c>
      <c r="G51" s="37">
        <v>0.26</v>
      </c>
      <c r="H51" s="37">
        <v>0.28000000000000003</v>
      </c>
      <c r="I51" s="37">
        <v>0.37</v>
      </c>
      <c r="J51" s="20">
        <v>0.05</v>
      </c>
      <c r="K51" s="2">
        <f>C51+D51+E51+F51+G51+H51+I51+J51</f>
        <v>9.09</v>
      </c>
    </row>
    <row r="52" spans="1:11" ht="15" thickBot="1" x14ac:dyDescent="0.35">
      <c r="A52" s="14" t="s">
        <v>51</v>
      </c>
      <c r="B52" s="61"/>
      <c r="C52" s="36">
        <v>8.15</v>
      </c>
      <c r="D52" s="4">
        <v>2.31</v>
      </c>
      <c r="E52" s="37">
        <v>1.58</v>
      </c>
      <c r="F52" s="31">
        <f>ROUNDDOWN((C52)*$M$1,2)</f>
        <v>0.4</v>
      </c>
      <c r="G52" s="37">
        <v>0.39</v>
      </c>
      <c r="H52" s="37">
        <v>0.43</v>
      </c>
      <c r="I52" s="37">
        <v>0.56000000000000005</v>
      </c>
      <c r="J52" s="21">
        <v>0.08</v>
      </c>
      <c r="K52" s="2">
        <f>C52+D52+E52+F52+G52+H52+I52+J52</f>
        <v>13.900000000000002</v>
      </c>
    </row>
    <row r="53" spans="1:11" ht="15" thickBot="1" x14ac:dyDescent="0.35">
      <c r="A53" s="15" t="s">
        <v>52</v>
      </c>
      <c r="B53" s="66"/>
      <c r="C53" s="66"/>
      <c r="D53" s="66"/>
      <c r="E53" s="66"/>
      <c r="F53" s="66"/>
      <c r="G53" s="66"/>
      <c r="H53" s="66"/>
      <c r="I53" s="66"/>
      <c r="J53" s="66"/>
      <c r="K53" s="67"/>
    </row>
    <row r="54" spans="1:11" ht="15" thickBot="1" x14ac:dyDescent="0.35">
      <c r="A54" s="55" t="s">
        <v>53</v>
      </c>
      <c r="B54" s="63"/>
      <c r="C54" s="36">
        <v>13.63</v>
      </c>
      <c r="D54" s="4">
        <v>3.87</v>
      </c>
      <c r="E54" s="37">
        <v>2.65</v>
      </c>
      <c r="F54" s="31">
        <f>ROUNDDOWN((C54)*$M$1,2)</f>
        <v>0.68</v>
      </c>
      <c r="G54" s="37">
        <v>0.65</v>
      </c>
      <c r="H54" s="37">
        <v>0.72</v>
      </c>
      <c r="I54" s="37">
        <v>0.94</v>
      </c>
      <c r="J54" s="10">
        <v>0.14000000000000001</v>
      </c>
      <c r="K54" s="2">
        <f>C54+D54+E54+F54+G54+H54+I54+J54</f>
        <v>23.279999999999998</v>
      </c>
    </row>
    <row r="55" spans="1:11" ht="15" thickBot="1" x14ac:dyDescent="0.35">
      <c r="A55" s="17"/>
      <c r="B55" s="18"/>
      <c r="C55" s="22"/>
      <c r="D55" s="22"/>
      <c r="E55" s="22"/>
      <c r="F55" s="47"/>
      <c r="G55" s="22"/>
      <c r="H55" s="22"/>
      <c r="I55" s="22"/>
      <c r="J55" s="25"/>
      <c r="K55" s="49"/>
    </row>
    <row r="56" spans="1:11" ht="15" thickBot="1" x14ac:dyDescent="0.35">
      <c r="A56" s="9" t="s">
        <v>54</v>
      </c>
      <c r="B56" s="59"/>
      <c r="C56" s="50">
        <v>55.7</v>
      </c>
      <c r="D56" s="50">
        <v>15.83</v>
      </c>
      <c r="E56" s="10">
        <v>10.83</v>
      </c>
      <c r="F56" s="31">
        <f>ROUNDDOWN((C56)*$M$1,2)</f>
        <v>2.78</v>
      </c>
      <c r="G56" s="50">
        <v>2.67</v>
      </c>
      <c r="H56" s="50">
        <v>2.93</v>
      </c>
      <c r="I56" s="50">
        <v>3.82</v>
      </c>
      <c r="J56" s="10">
        <v>0.56000000000000005</v>
      </c>
      <c r="K56" s="2">
        <f>C56+D56+E56+F56+G56+H56+I56+J56</f>
        <v>95.12</v>
      </c>
    </row>
    <row r="57" spans="1:11" ht="15" thickBot="1" x14ac:dyDescent="0.35">
      <c r="A57" s="17"/>
      <c r="B57" s="18"/>
      <c r="C57" s="19"/>
      <c r="D57" s="19"/>
      <c r="E57" s="19"/>
      <c r="F57" s="19"/>
      <c r="G57" s="19"/>
      <c r="H57" s="19"/>
      <c r="I57" s="19"/>
      <c r="J57" s="25"/>
      <c r="K57" s="49"/>
    </row>
    <row r="58" spans="1:11" ht="15" thickBot="1" x14ac:dyDescent="0.35">
      <c r="A58" s="23" t="s">
        <v>55</v>
      </c>
      <c r="B58" s="66"/>
      <c r="C58" s="66"/>
      <c r="D58" s="66"/>
      <c r="E58" s="66"/>
      <c r="F58" s="66"/>
      <c r="G58" s="66"/>
      <c r="H58" s="66"/>
      <c r="I58" s="66"/>
      <c r="J58" s="66"/>
      <c r="K58" s="67"/>
    </row>
    <row r="59" spans="1:11" ht="15" thickBot="1" x14ac:dyDescent="0.35">
      <c r="A59" s="13" t="s">
        <v>56</v>
      </c>
      <c r="B59" s="60"/>
      <c r="C59" s="41">
        <v>70.84</v>
      </c>
      <c r="D59" s="41">
        <v>20.13</v>
      </c>
      <c r="E59" s="37">
        <v>13.780000000000001</v>
      </c>
      <c r="F59" s="31">
        <f>ROUNDDOWN((C59)*$M$1,2)</f>
        <v>3.54</v>
      </c>
      <c r="G59" s="50">
        <v>3.4</v>
      </c>
      <c r="H59" s="50">
        <v>3.73</v>
      </c>
      <c r="I59" s="50">
        <v>4.8600000000000003</v>
      </c>
      <c r="J59" s="5">
        <v>0.71</v>
      </c>
      <c r="K59" s="2">
        <f>C59+D59+E59+F59+G59+H59+I59+J59</f>
        <v>120.99000000000001</v>
      </c>
    </row>
    <row r="60" spans="1:11" ht="15" thickBot="1" x14ac:dyDescent="0.35">
      <c r="A60" s="14" t="s">
        <v>57</v>
      </c>
      <c r="B60" s="61"/>
      <c r="C60" s="47">
        <v>366.39</v>
      </c>
      <c r="D60" s="47">
        <v>104.13</v>
      </c>
      <c r="E60" s="21">
        <v>71.27</v>
      </c>
      <c r="F60" s="31">
        <f>ROUNDDOWN((C60)*$M$1,2)</f>
        <v>18.309999999999999</v>
      </c>
      <c r="G60" s="50">
        <v>17.59</v>
      </c>
      <c r="H60" s="50">
        <v>19.28</v>
      </c>
      <c r="I60" s="50">
        <v>25.15</v>
      </c>
      <c r="J60" s="21">
        <v>3.66</v>
      </c>
      <c r="K60" s="2">
        <f>C60+D60+E60+F60+G60+H60+I60+J60</f>
        <v>625.77999999999986</v>
      </c>
    </row>
    <row r="61" spans="1:11" ht="15" thickBot="1" x14ac:dyDescent="0.35">
      <c r="A61" s="17"/>
      <c r="B61" s="51"/>
      <c r="C61" s="19"/>
      <c r="D61" s="19"/>
      <c r="E61" s="19"/>
      <c r="F61" s="47"/>
      <c r="G61" s="19"/>
      <c r="H61" s="19"/>
      <c r="I61" s="19"/>
      <c r="J61" s="25"/>
      <c r="K61" s="49"/>
    </row>
    <row r="62" spans="1:11" ht="15" thickBot="1" x14ac:dyDescent="0.35">
      <c r="A62" s="9" t="s">
        <v>58</v>
      </c>
      <c r="B62" s="59"/>
      <c r="C62" s="50">
        <v>1065.04</v>
      </c>
      <c r="D62" s="50">
        <v>302.7</v>
      </c>
      <c r="E62" s="10">
        <v>207.18</v>
      </c>
      <c r="F62" s="31">
        <f>ROUNDDOWN((C62)*$M$1,2)</f>
        <v>53.25</v>
      </c>
      <c r="G62" s="50">
        <v>51.12</v>
      </c>
      <c r="H62" s="50">
        <v>56.06</v>
      </c>
      <c r="I62" s="50">
        <v>73.099999999999994</v>
      </c>
      <c r="J62" s="27">
        <v>10.65</v>
      </c>
      <c r="K62" s="2">
        <f>C62+D62+E62+F62+G62+H62+I62+J62</f>
        <v>1819.1</v>
      </c>
    </row>
    <row r="63" spans="1:11" ht="15" thickBot="1" x14ac:dyDescent="0.35">
      <c r="A63" s="17"/>
      <c r="B63" s="18"/>
      <c r="C63" s="19"/>
      <c r="D63" s="19"/>
      <c r="E63" s="19"/>
      <c r="F63" s="19"/>
      <c r="G63" s="19"/>
      <c r="H63" s="19"/>
      <c r="I63" s="19"/>
      <c r="J63" s="25"/>
      <c r="K63" s="49"/>
    </row>
    <row r="64" spans="1:11" ht="15" thickBot="1" x14ac:dyDescent="0.35">
      <c r="A64" s="9" t="s">
        <v>59</v>
      </c>
      <c r="B64" s="66"/>
      <c r="C64" s="66"/>
      <c r="D64" s="66"/>
      <c r="E64" s="66"/>
      <c r="F64" s="66"/>
      <c r="G64" s="66"/>
      <c r="H64" s="66"/>
      <c r="I64" s="66"/>
      <c r="J64" s="66"/>
      <c r="K64" s="67"/>
    </row>
    <row r="65" spans="1:11" ht="15" thickBot="1" x14ac:dyDescent="0.35">
      <c r="A65" s="52" t="s">
        <v>60</v>
      </c>
      <c r="B65" s="60"/>
      <c r="C65" s="41">
        <v>80.61999999999999</v>
      </c>
      <c r="D65" s="41">
        <v>22.91</v>
      </c>
      <c r="E65" s="5">
        <v>15.67</v>
      </c>
      <c r="F65" s="31">
        <f>ROUNDDOWN((C65)*$M$1,2)</f>
        <v>4.03</v>
      </c>
      <c r="G65" s="22">
        <v>3.87</v>
      </c>
      <c r="H65" s="22">
        <v>4.24</v>
      </c>
      <c r="I65" s="22">
        <v>5.53</v>
      </c>
      <c r="J65" s="5">
        <v>0.81</v>
      </c>
      <c r="K65" s="2">
        <f>C65+D65+E65+F65+G65+H65+I65+J65</f>
        <v>137.68</v>
      </c>
    </row>
    <row r="66" spans="1:11" ht="15" thickBot="1" x14ac:dyDescent="0.35">
      <c r="A66" s="24" t="s">
        <v>61</v>
      </c>
      <c r="B66" s="62"/>
      <c r="C66" s="53">
        <v>1465.7000000000003</v>
      </c>
      <c r="D66" s="53">
        <v>416.57</v>
      </c>
      <c r="E66" s="37">
        <v>285.11</v>
      </c>
      <c r="F66" s="31">
        <f>ROUNDDOWN((C66)*$M$1,2)</f>
        <v>73.28</v>
      </c>
      <c r="G66" s="53">
        <v>70.349999999999994</v>
      </c>
      <c r="H66" s="53">
        <v>77.14</v>
      </c>
      <c r="I66" s="53">
        <v>100.59</v>
      </c>
      <c r="J66" s="37">
        <v>14.66</v>
      </c>
      <c r="K66" s="2">
        <f>C66+D66+E66+F66+G66+H66+I66+J66</f>
        <v>2503.4</v>
      </c>
    </row>
    <row r="67" spans="1:11" ht="15" thickBot="1" x14ac:dyDescent="0.35">
      <c r="A67" s="24" t="s">
        <v>62</v>
      </c>
      <c r="B67" s="62"/>
      <c r="C67" s="53">
        <v>1465.7000000000003</v>
      </c>
      <c r="D67" s="53">
        <v>416.57</v>
      </c>
      <c r="E67" s="37">
        <v>285.11</v>
      </c>
      <c r="F67" s="31">
        <f>ROUNDDOWN((C67)*$M$1,2)</f>
        <v>73.28</v>
      </c>
      <c r="G67" s="53">
        <v>70.349999999999994</v>
      </c>
      <c r="H67" s="53">
        <v>77.14</v>
      </c>
      <c r="I67" s="53">
        <v>100.59</v>
      </c>
      <c r="J67" s="37">
        <v>14.66</v>
      </c>
      <c r="K67" s="2">
        <f>C67+D67+E67+F67+G67+H67+I67+J67</f>
        <v>2503.4</v>
      </c>
    </row>
    <row r="68" spans="1:11" ht="15" thickBot="1" x14ac:dyDescent="0.35">
      <c r="A68" s="14" t="s">
        <v>63</v>
      </c>
      <c r="B68" s="61"/>
      <c r="C68" s="47">
        <v>244.26999999999995</v>
      </c>
      <c r="D68" s="47">
        <v>69.430000000000007</v>
      </c>
      <c r="E68" s="21">
        <v>47.51</v>
      </c>
      <c r="F68" s="31">
        <f>ROUNDDOWN((C68)*$M$1,2)</f>
        <v>12.21</v>
      </c>
      <c r="G68" s="54">
        <v>11.73</v>
      </c>
      <c r="H68" s="54">
        <v>12.86</v>
      </c>
      <c r="I68" s="54">
        <v>16.760000000000002</v>
      </c>
      <c r="J68" s="21">
        <v>2.44</v>
      </c>
      <c r="K68" s="2">
        <f>C68+D68+E68+F68+G68+H68+I68+J68</f>
        <v>417.20999999999992</v>
      </c>
    </row>
    <row r="69" spans="1:11" ht="15" thickBot="1" x14ac:dyDescent="0.35">
      <c r="A69" s="17"/>
      <c r="B69" s="18"/>
      <c r="C69" s="19"/>
      <c r="D69" s="19"/>
      <c r="E69" s="19"/>
      <c r="F69" s="19"/>
      <c r="G69" s="19"/>
      <c r="H69" s="19"/>
      <c r="I69" s="19"/>
      <c r="J69" s="25"/>
      <c r="K69" s="49"/>
    </row>
    <row r="70" spans="1:11" ht="15" thickBot="1" x14ac:dyDescent="0.35">
      <c r="A70" s="9" t="s">
        <v>64</v>
      </c>
      <c r="B70" s="66"/>
      <c r="C70" s="66"/>
      <c r="D70" s="66"/>
      <c r="E70" s="66"/>
      <c r="F70" s="66"/>
      <c r="G70" s="66"/>
      <c r="H70" s="66"/>
      <c r="I70" s="66"/>
      <c r="J70" s="66"/>
      <c r="K70" s="67"/>
    </row>
    <row r="71" spans="1:11" ht="15" thickBot="1" x14ac:dyDescent="0.35">
      <c r="A71" s="52" t="s">
        <v>65</v>
      </c>
      <c r="B71" s="60"/>
      <c r="C71" s="5">
        <v>380.37</v>
      </c>
      <c r="D71" s="5">
        <v>108.1</v>
      </c>
      <c r="E71" s="5">
        <v>73.97999999999999</v>
      </c>
      <c r="F71" s="31">
        <f>ROUNDDOWN((C71)*$M$1,2)</f>
        <v>19.010000000000002</v>
      </c>
      <c r="G71" s="5">
        <v>18.260000000000002</v>
      </c>
      <c r="H71" s="5">
        <v>20.02</v>
      </c>
      <c r="I71" s="5">
        <v>26.1</v>
      </c>
      <c r="J71" s="5">
        <v>3.8</v>
      </c>
      <c r="K71" s="2">
        <f>C71+D71+E71+F71+G71+H71+I71+J71</f>
        <v>649.64</v>
      </c>
    </row>
    <row r="72" spans="1:11" ht="15" thickBot="1" x14ac:dyDescent="0.35">
      <c r="A72" s="14" t="s">
        <v>66</v>
      </c>
      <c r="B72" s="61"/>
      <c r="C72" s="21">
        <v>192.09</v>
      </c>
      <c r="D72" s="21">
        <v>54.59</v>
      </c>
      <c r="E72" s="21">
        <v>37.36</v>
      </c>
      <c r="F72" s="31">
        <f>ROUNDDOWN((C72)*$M$1,2)</f>
        <v>9.6</v>
      </c>
      <c r="G72" s="21">
        <v>9.2200000000000006</v>
      </c>
      <c r="H72" s="21">
        <v>10.11</v>
      </c>
      <c r="I72" s="21">
        <v>13.18</v>
      </c>
      <c r="J72" s="21">
        <v>1.92</v>
      </c>
      <c r="K72" s="2">
        <f>C72+D72+E72+F72+G72+H72+I72+J72</f>
        <v>328.07000000000011</v>
      </c>
    </row>
    <row r="73" spans="1:11" ht="15" thickBot="1" x14ac:dyDescent="0.35">
      <c r="A73" s="39"/>
      <c r="B73" s="40"/>
      <c r="C73" s="25"/>
      <c r="D73" s="25"/>
      <c r="E73" s="25"/>
      <c r="F73" s="54"/>
      <c r="G73" s="25"/>
      <c r="H73" s="25"/>
      <c r="I73" s="25"/>
      <c r="J73" s="25"/>
      <c r="K73" s="25"/>
    </row>
    <row r="74" spans="1:11" ht="15" thickBot="1" x14ac:dyDescent="0.35">
      <c r="A74" s="26" t="s">
        <v>67</v>
      </c>
      <c r="B74" s="64"/>
      <c r="C74" s="10">
        <v>1410.9399999999998</v>
      </c>
      <c r="D74" s="10">
        <v>401.01</v>
      </c>
      <c r="E74" s="10">
        <v>274.46000000000004</v>
      </c>
      <c r="F74" s="31">
        <f>ROUNDDOWN((C74)*$M$1,2)</f>
        <v>70.540000000000006</v>
      </c>
      <c r="G74" s="50">
        <v>67.73</v>
      </c>
      <c r="H74" s="50">
        <v>74.260000000000005</v>
      </c>
      <c r="I74" s="50">
        <v>96.84</v>
      </c>
      <c r="J74" s="27">
        <v>14.11</v>
      </c>
      <c r="K74" s="2">
        <f>C74+D74+E74+F74+G74+H74+I74+J74</f>
        <v>2409.8900000000003</v>
      </c>
    </row>
  </sheetData>
  <mergeCells count="10">
    <mergeCell ref="B35:K35"/>
    <mergeCell ref="B39:K39"/>
    <mergeCell ref="B42:K42"/>
    <mergeCell ref="A45:K45"/>
    <mergeCell ref="B49:K49"/>
    <mergeCell ref="B50:K50"/>
    <mergeCell ref="B53:K53"/>
    <mergeCell ref="B58:K58"/>
    <mergeCell ref="B64:K64"/>
    <mergeCell ref="B70:K70"/>
  </mergeCells>
  <pageMargins left="0.25" right="0.25" top="0.75" bottom="0.75" header="0.3" footer="0.3"/>
  <pageSetup paperSize="9" scale="74" fitToHeight="0" orientation="landscape" horizontalDpi="0" verticalDpi="0" r:id="rId1"/>
  <ignoredErrors>
    <ignoredError sqref="F61 F7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MULTICÁLCULO 2026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Pedro Lopes</cp:lastModifiedBy>
  <cp:lastPrinted>2025-12-19T14:42:55Z</cp:lastPrinted>
  <dcterms:created xsi:type="dcterms:W3CDTF">2015-12-18T16:56:48Z</dcterms:created>
  <dcterms:modified xsi:type="dcterms:W3CDTF">2026-03-19T02:49:02Z</dcterms:modified>
</cp:coreProperties>
</file>