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Sistema_Escrituras\"/>
    </mc:Choice>
  </mc:AlternateContent>
  <xr:revisionPtr revIDLastSave="0" documentId="13_ncr:1_{6E06D5F4-5B76-4D6A-9BA2-10BE62349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a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21" i="1"/>
  <c r="D20" i="1"/>
  <c r="D17" i="1"/>
  <c r="D16" i="1"/>
  <c r="D15" i="1"/>
  <c r="D14" i="1"/>
  <c r="D13" i="1"/>
  <c r="D12" i="1"/>
  <c r="D11" i="1"/>
  <c r="D8" i="1"/>
  <c r="D7" i="1"/>
  <c r="D6" i="1"/>
  <c r="D5" i="1"/>
  <c r="D4" i="1"/>
  <c r="D3" i="1"/>
  <c r="D2" i="1"/>
  <c r="C23" i="1"/>
  <c r="D23" i="1" s="1"/>
  <c r="C22" i="1"/>
  <c r="D22" i="1" s="1"/>
  <c r="C21" i="1"/>
  <c r="C20" i="1"/>
  <c r="C19" i="1"/>
  <c r="D19" i="1" s="1"/>
  <c r="C18" i="1"/>
  <c r="D18" i="1" s="1"/>
  <c r="C17" i="1"/>
  <c r="C16" i="1"/>
  <c r="C15" i="1"/>
  <c r="C14" i="1"/>
  <c r="C13" i="1"/>
  <c r="C12" i="1"/>
  <c r="C11" i="1"/>
  <c r="C10" i="1"/>
  <c r="D10" i="1" s="1"/>
  <c r="C9" i="1"/>
  <c r="D9" i="1" s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<sst xmlns="http://schemas.openxmlformats.org/spreadsheetml/2006/main" count="6" uniqueCount="6">
  <si>
    <t>ValorVenal</t>
  </si>
  <si>
    <t>ValorRegistro</t>
  </si>
  <si>
    <t>Matricula</t>
  </si>
  <si>
    <t>ValorTabela</t>
  </si>
  <si>
    <t>ValorTabelaAv</t>
  </si>
  <si>
    <t>ValorAverbação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</si>
</sst>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21" sqref="F21"/>
    </sheetView>
  </sheetViews>
  <sheetFormatPr defaultRowHeight="14.4" x14ac:dyDescent="0.3"/>
  <cols>
    <col min="1" max="2" width="18" customWidth="1"/>
    <col min="3" max="3" width="13.88671875" customWidth="1"/>
    <col min="4" max="4" width="14.33203125" customWidth="1"/>
    <col min="5" max="5" width="14.21875" customWidth="1"/>
    <col min="6" max="6" width="14.44140625" customWidth="1"/>
  </cols>
  <sheetData>
    <row r="1" spans="1:6" x14ac:dyDescent="0.3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 x14ac:dyDescent="0.3">
      <c r="A2" s="2">
        <v>2306</v>
      </c>
      <c r="B2" s="2">
        <v>265.41000000000003</v>
      </c>
      <c r="C2" s="2">
        <v>78.010000000000005</v>
      </c>
      <c r="D2" s="3">
        <f t="shared" ref="D2:F23" si="0">SUM(B2:C2)</f>
        <v>343.42</v>
      </c>
      <c r="E2" s="3">
        <v>94.35</v>
      </c>
      <c r="F2" s="3">
        <f>SUM(C2+E2)</f>
        <v>172.36</v>
      </c>
    </row>
    <row r="3" spans="1:6" x14ac:dyDescent="0.3">
      <c r="A3" s="2">
        <v>5761</v>
      </c>
      <c r="B3" s="2">
        <v>425.9</v>
      </c>
      <c r="C3" s="2">
        <f>C2</f>
        <v>78.010000000000005</v>
      </c>
      <c r="D3" s="3">
        <f t="shared" si="0"/>
        <v>503.90999999999997</v>
      </c>
      <c r="E3" s="3">
        <v>142.13</v>
      </c>
      <c r="F3" s="3">
        <f>SUM(C3+E3)</f>
        <v>220.14</v>
      </c>
    </row>
    <row r="4" spans="1:6" x14ac:dyDescent="0.3">
      <c r="A4" s="2">
        <v>9603</v>
      </c>
      <c r="B4" s="2">
        <v>764.07</v>
      </c>
      <c r="C4" s="2">
        <f>C2</f>
        <v>78.010000000000005</v>
      </c>
      <c r="D4" s="3">
        <f t="shared" si="0"/>
        <v>842.08</v>
      </c>
      <c r="E4" s="3">
        <v>242.99</v>
      </c>
      <c r="F4" s="3">
        <f>SUM(C4+E4)</f>
        <v>321</v>
      </c>
    </row>
    <row r="5" spans="1:6" x14ac:dyDescent="0.3">
      <c r="A5" s="2">
        <v>19210</v>
      </c>
      <c r="B5" s="2">
        <v>1133.6500000000001</v>
      </c>
      <c r="C5" s="2">
        <f>C2</f>
        <v>78.010000000000005</v>
      </c>
      <c r="D5" s="3">
        <f t="shared" si="0"/>
        <v>1211.6600000000001</v>
      </c>
      <c r="E5" s="3">
        <v>395.7</v>
      </c>
      <c r="F5" s="3">
        <f>SUM(C5+E5)</f>
        <v>473.71</v>
      </c>
    </row>
    <row r="6" spans="1:6" x14ac:dyDescent="0.3">
      <c r="A6" s="2">
        <v>38420</v>
      </c>
      <c r="B6" s="2">
        <v>1378.25</v>
      </c>
      <c r="C6" s="2">
        <f>C2</f>
        <v>78.010000000000005</v>
      </c>
      <c r="D6" s="3">
        <f t="shared" si="0"/>
        <v>1456.26</v>
      </c>
      <c r="E6" s="3">
        <v>504.74</v>
      </c>
      <c r="F6" s="3">
        <f>SUM(C6+E6)</f>
        <v>582.75</v>
      </c>
    </row>
    <row r="7" spans="1:6" x14ac:dyDescent="0.3">
      <c r="A7" s="2">
        <v>115260</v>
      </c>
      <c r="B7" s="2">
        <v>1537.03</v>
      </c>
      <c r="C7" s="2">
        <f>C2</f>
        <v>78.010000000000005</v>
      </c>
      <c r="D7" s="3">
        <f t="shared" si="0"/>
        <v>1615.04</v>
      </c>
      <c r="E7" s="3">
        <v>527.23</v>
      </c>
      <c r="F7" s="3">
        <f>SUM(C7+E7)</f>
        <v>605.24</v>
      </c>
    </row>
    <row r="8" spans="1:6" x14ac:dyDescent="0.3">
      <c r="A8" s="2">
        <v>192100</v>
      </c>
      <c r="B8" s="2">
        <v>1961.8</v>
      </c>
      <c r="C8" s="2">
        <f>C2</f>
        <v>78.010000000000005</v>
      </c>
      <c r="D8" s="3">
        <f t="shared" si="0"/>
        <v>2039.81</v>
      </c>
      <c r="E8" s="3">
        <v>587.23</v>
      </c>
      <c r="F8" s="3">
        <f>SUM(C8+E8)</f>
        <v>665.24</v>
      </c>
    </row>
    <row r="9" spans="1:6" x14ac:dyDescent="0.3">
      <c r="A9" s="2">
        <v>230520</v>
      </c>
      <c r="B9" s="2">
        <v>2385.71</v>
      </c>
      <c r="C9" s="2">
        <f>C2</f>
        <v>78.010000000000005</v>
      </c>
      <c r="D9" s="3">
        <f t="shared" si="0"/>
        <v>2463.7200000000003</v>
      </c>
      <c r="E9" s="3">
        <v>647.23</v>
      </c>
      <c r="F9" s="3">
        <f>SUM(C9+E9)</f>
        <v>725.24</v>
      </c>
    </row>
    <row r="10" spans="1:6" x14ac:dyDescent="0.3">
      <c r="A10" s="2">
        <v>268940</v>
      </c>
      <c r="B10" s="2">
        <v>2597.25</v>
      </c>
      <c r="C10" s="2">
        <f>C2</f>
        <v>78.010000000000005</v>
      </c>
      <c r="D10" s="3">
        <f t="shared" si="0"/>
        <v>2675.26</v>
      </c>
      <c r="E10" s="3">
        <v>677.48</v>
      </c>
      <c r="F10" s="3">
        <f>SUM(C10+E10)</f>
        <v>755.49</v>
      </c>
    </row>
    <row r="11" spans="1:6" x14ac:dyDescent="0.3">
      <c r="A11" s="2">
        <v>307360</v>
      </c>
      <c r="B11" s="2">
        <v>2809.98</v>
      </c>
      <c r="C11" s="2">
        <f>C2</f>
        <v>78.010000000000005</v>
      </c>
      <c r="D11" s="3">
        <f t="shared" si="0"/>
        <v>2887.9900000000002</v>
      </c>
      <c r="E11" s="3">
        <v>707.26</v>
      </c>
      <c r="F11" s="3">
        <f>SUM(C11+E11)</f>
        <v>785.27</v>
      </c>
    </row>
    <row r="12" spans="1:6" x14ac:dyDescent="0.3">
      <c r="A12" s="2">
        <v>345780</v>
      </c>
      <c r="B12" s="2">
        <v>2962.29</v>
      </c>
      <c r="C12" s="2">
        <f>C2</f>
        <v>78.010000000000005</v>
      </c>
      <c r="D12" s="3">
        <f t="shared" si="0"/>
        <v>3040.3</v>
      </c>
      <c r="E12" s="3">
        <v>737.5</v>
      </c>
      <c r="F12" s="3">
        <f>SUM(C12+E12)</f>
        <v>815.51</v>
      </c>
    </row>
    <row r="13" spans="1:6" x14ac:dyDescent="0.3">
      <c r="A13" s="2">
        <v>384200</v>
      </c>
      <c r="B13" s="2">
        <v>3039.5</v>
      </c>
      <c r="C13" s="2">
        <f>C2</f>
        <v>78.010000000000005</v>
      </c>
      <c r="D13" s="3">
        <f t="shared" si="0"/>
        <v>3117.51</v>
      </c>
      <c r="E13" s="3">
        <v>767.38</v>
      </c>
      <c r="F13" s="3">
        <f>SUM(C13+E13)</f>
        <v>845.39</v>
      </c>
    </row>
    <row r="14" spans="1:6" x14ac:dyDescent="0.3">
      <c r="A14" s="2">
        <v>768400</v>
      </c>
      <c r="B14" s="2">
        <v>3389.07</v>
      </c>
      <c r="C14" s="2">
        <f>C2</f>
        <v>78.010000000000005</v>
      </c>
      <c r="D14" s="3">
        <f t="shared" si="0"/>
        <v>3467.0800000000004</v>
      </c>
      <c r="E14" s="3">
        <v>932.29</v>
      </c>
      <c r="F14" s="3">
        <f>SUM(C14+E14)</f>
        <v>1010.3</v>
      </c>
    </row>
    <row r="15" spans="1:6" x14ac:dyDescent="0.3">
      <c r="A15" s="2">
        <v>1152600</v>
      </c>
      <c r="B15" s="2">
        <v>3968.93</v>
      </c>
      <c r="C15" s="2">
        <f>C2</f>
        <v>78.010000000000005</v>
      </c>
      <c r="D15" s="3">
        <f t="shared" si="0"/>
        <v>4046.94</v>
      </c>
      <c r="E15" s="3">
        <v>1232.48</v>
      </c>
      <c r="F15" s="3">
        <f>SUM(C15+E15)</f>
        <v>1310.49</v>
      </c>
    </row>
    <row r="16" spans="1:6" x14ac:dyDescent="0.3">
      <c r="A16" s="2">
        <v>1536800</v>
      </c>
      <c r="B16" s="2">
        <v>4569.2</v>
      </c>
      <c r="C16" s="2">
        <f>C2</f>
        <v>78.010000000000005</v>
      </c>
      <c r="D16" s="3">
        <f t="shared" si="0"/>
        <v>4647.21</v>
      </c>
      <c r="E16" s="3">
        <v>1532.62</v>
      </c>
      <c r="F16" s="3">
        <f>SUM(C16+E16)</f>
        <v>1610.6299999999999</v>
      </c>
    </row>
    <row r="17" spans="1:6" x14ac:dyDescent="0.3">
      <c r="A17" s="2">
        <v>1921000</v>
      </c>
      <c r="B17" s="2">
        <v>5169.5200000000004</v>
      </c>
      <c r="C17" s="2">
        <f>C2</f>
        <v>78.010000000000005</v>
      </c>
      <c r="D17" s="3">
        <f t="shared" si="0"/>
        <v>5247.5300000000007</v>
      </c>
      <c r="E17" s="3">
        <v>1832.74</v>
      </c>
      <c r="F17" s="3">
        <f>SUM(C17+E17)</f>
        <v>1910.75</v>
      </c>
    </row>
    <row r="18" spans="1:6" x14ac:dyDescent="0.3">
      <c r="A18" s="2">
        <v>2305200</v>
      </c>
      <c r="B18" s="2">
        <v>5479.89</v>
      </c>
      <c r="C18" s="2">
        <f>C2</f>
        <v>78.010000000000005</v>
      </c>
      <c r="D18" s="3">
        <f t="shared" si="0"/>
        <v>5557.9000000000005</v>
      </c>
      <c r="E18" s="3">
        <v>1987.9</v>
      </c>
      <c r="F18" s="3">
        <f>SUM(C18+E18)</f>
        <v>2065.9100000000003</v>
      </c>
    </row>
    <row r="19" spans="1:6" x14ac:dyDescent="0.3">
      <c r="A19" s="2">
        <v>3842000</v>
      </c>
      <c r="B19" s="2">
        <v>7031.68</v>
      </c>
      <c r="C19" s="2">
        <f>C2</f>
        <v>78.010000000000005</v>
      </c>
      <c r="D19" s="3">
        <f t="shared" si="0"/>
        <v>7109.6900000000005</v>
      </c>
      <c r="E19" s="3">
        <v>2763.8</v>
      </c>
      <c r="F19" s="3">
        <f>SUM(C19+E19)</f>
        <v>2841.8100000000004</v>
      </c>
    </row>
    <row r="20" spans="1:6" x14ac:dyDescent="0.3">
      <c r="A20" s="2">
        <v>5763000</v>
      </c>
      <c r="B20" s="2">
        <v>9824.8799999999992</v>
      </c>
      <c r="C20" s="2">
        <f>C2</f>
        <v>78.010000000000005</v>
      </c>
      <c r="D20" s="3">
        <f t="shared" si="0"/>
        <v>9902.89</v>
      </c>
      <c r="E20" s="3">
        <v>4160.42</v>
      </c>
      <c r="F20" s="3">
        <f>SUM(C20+E20)</f>
        <v>4238.43</v>
      </c>
    </row>
    <row r="21" spans="1:6" x14ac:dyDescent="0.3">
      <c r="A21" s="2">
        <v>7684000</v>
      </c>
      <c r="B21" s="2">
        <v>12928.44</v>
      </c>
      <c r="C21" s="2">
        <f>C2</f>
        <v>78.010000000000005</v>
      </c>
      <c r="D21" s="3">
        <f t="shared" si="0"/>
        <v>13006.45</v>
      </c>
      <c r="E21" s="3">
        <v>5712.2</v>
      </c>
      <c r="F21" s="3">
        <f>SUM(C21+E21)</f>
        <v>5790.21</v>
      </c>
    </row>
    <row r="22" spans="1:6" x14ac:dyDescent="0.3">
      <c r="A22" s="2">
        <v>9605000</v>
      </c>
      <c r="B22" s="2">
        <v>16032.01</v>
      </c>
      <c r="C22" s="2">
        <f>C2</f>
        <v>78.010000000000005</v>
      </c>
      <c r="D22" s="3">
        <f t="shared" si="0"/>
        <v>16110.02</v>
      </c>
      <c r="E22" s="3">
        <v>7263.98</v>
      </c>
      <c r="F22" s="3">
        <f>SUM(C22+E22)</f>
        <v>7341.99</v>
      </c>
    </row>
    <row r="23" spans="1:6" x14ac:dyDescent="0.3">
      <c r="A23" s="2">
        <v>11526000</v>
      </c>
      <c r="B23" s="2">
        <v>19135.580000000002</v>
      </c>
      <c r="C23" s="2">
        <f>C2</f>
        <v>78.010000000000005</v>
      </c>
      <c r="D23" s="3">
        <f t="shared" si="0"/>
        <v>19213.59</v>
      </c>
      <c r="E23" s="3">
        <v>8815.76</v>
      </c>
      <c r="F23" s="3">
        <f>SUM(C23+E23)</f>
        <v>8893.77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TabelaRegistro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Pedro Lopes</cp:lastModifiedBy>
  <dcterms:created xsi:type="dcterms:W3CDTF">2026-03-12T02:31:13Z</dcterms:created>
  <dcterms:modified xsi:type="dcterms:W3CDTF">2026-03-25T00:39:25Z</dcterms:modified>
</cp:coreProperties>
</file>